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svg" ContentType="image/svg+xml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2.xml" ContentType="application/vnd.openxmlformats-officedocument.drawing+xml"/>
  <Override PartName="/xl/activeX/activeX7.xml" ContentType="application/vnd.ms-office.activeX+xml"/>
  <Override PartName="/xl/drawings/drawing3.xml" ContentType="application/vnd.openxmlformats-officedocument.drawing+xml"/>
  <Override PartName="/xl/activeX/activeX8.xml" ContentType="application/vnd.ms-office.activeX+xml"/>
  <Override PartName="/xl/drawings/drawing4.xml" ContentType="application/vnd.openxmlformats-officedocument.drawing+xml"/>
  <Override PartName="/xl/activeX/activeX9.xml" ContentType="application/vnd.ms-office.activeX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5.xml" ContentType="application/vnd.openxmlformats-officedocument.drawing+xml"/>
  <Override PartName="/xl/activeX/activeX10.xml" ContentType="application/vnd.ms-office.activeX+xml"/>
  <Override PartName="/xl/drawings/drawing6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rinterSettings/printerSettings2.bin" ContentType="application/vnd.openxmlformats-officedocument.spreadsheetml.printerSettings"/>
  <Override PartName="/xl/drawings/drawing10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c\Dropbox\"/>
    </mc:Choice>
  </mc:AlternateContent>
  <bookViews>
    <workbookView xWindow="0" yWindow="0" windowWidth="20490" windowHeight="8910" firstSheet="6" activeTab="7"/>
  </bookViews>
  <sheets>
    <sheet name="Sommaire" sheetId="16" state="veryHidden" r:id="rId1"/>
    <sheet name="Famille pdt" sheetId="18" state="veryHidden" r:id="rId2"/>
    <sheet name="Cartographie" sheetId="20" state="veryHidden" r:id="rId3"/>
    <sheet name="A propos" sheetId="19" state="veryHidden" r:id="rId4"/>
    <sheet name="Organigramme" sheetId="21" state="veryHidden" r:id="rId5"/>
    <sheet name="Login" sheetId="17" state="veryHidden" r:id="rId6"/>
    <sheet name="USER" sheetId="22" r:id="rId7"/>
    <sheet name="Reception" sheetId="4" r:id="rId8"/>
    <sheet name="Transfert" sheetId="11" r:id="rId9"/>
    <sheet name="Inventaire" sheetId="13" r:id="rId10"/>
    <sheet name="Dashboard" sheetId="24" r:id="rId11"/>
    <sheet name="OrdresArticles" sheetId="14" r:id="rId12"/>
    <sheet name="calculs" sheetId="27" r:id="rId13"/>
    <sheet name="Articles" sheetId="6" r:id="rId14"/>
    <sheet name="Ordres" sheetId="5" state="veryHidden" r:id="rId15"/>
    <sheet name="ID_Inventaire" sheetId="15" r:id="rId16"/>
    <sheet name="Clients" sheetId="12" r:id="rId17"/>
    <sheet name="Fsseur" sheetId="2" r:id="rId18"/>
    <sheet name="Magasin" sheetId="3" state="veryHidden" r:id="rId19"/>
    <sheet name="Chauffeur" sheetId="7" state="veryHidden" r:id="rId20"/>
    <sheet name="Camions" sheetId="8" state="veryHidden" r:id="rId21"/>
  </sheets>
  <definedNames>
    <definedName name="_xlnm._FilterDatabase" localSheetId="11" hidden="1">OrdresArticles!$A$3:$I$52</definedName>
    <definedName name="ChronologieNative_Date">#N/A</definedName>
    <definedName name="_xlnm.Criteria" localSheetId="11">OrdresArticles!$AF$3:$AG$5</definedName>
    <definedName name="Data_Articles">Articles!$A$4:OFFSET(Articles!$A$4,COUNTA(Articles!$A$4:$A$1010)-1,14,1,1)</definedName>
    <definedName name="_xlnm.Extract" localSheetId="11">OrdresArticles!$AI$3</definedName>
    <definedName name="ID_Inventaire">ID_Inventaire!$A$3:OFFSET(ID_Inventaire!$A$3,COUNTA(ID_Inventaire!$A$3:$A$9999)-1,0,1,1)</definedName>
    <definedName name="ID_Ordres">Ordres!$A$4:OFFSET(Ordres!$A$4,COUNTA(Ordres!$A$4:$A$9985)-1,0,1,1)</definedName>
    <definedName name="Liste_AllantA">OrdresArticles!$I$4:OFFSET(OrdresArticles!$A$4,COUNTA(OrdresArticles!$A$4:$A$99982)-1,8,1,1)</definedName>
    <definedName name="Liste_ArticlesAchetesEtVendus">OrdresArticles!$D$4:OFFSET(OrdresArticles!$D$4,COUNTA(OrdresArticles!$D$4:$D$99982)-1,0,1,1)</definedName>
    <definedName name="Liste_PourTriInv">Inventaire!$D$9:$I$9</definedName>
    <definedName name="Liste_TypeOrdre">OrdresArticles!$B$4:OFFSET(OrdresArticles!$B$4,COUNTA(OrdresArticles!$B$4:$B$99982)-1,0,1,1)</definedName>
    <definedName name="Liste_VenantDe">OrdresArticles!$H$4:OFFSET(OrdresArticles!$A$4,COUNTA(OrdresArticles!$A$4:$A$99982)-1,7,1,1)</definedName>
    <definedName name="Nom_Articles">Articles!$B$4:OFFSET(Articles!$B$4,COUNTA(Articles!$B$4:$B$10012)-1,0,1,1)</definedName>
    <definedName name="Nom_Camions">Camions!$B$4:OFFSET(Camions!$B$4,COUNTA(Camions!$B$4:$B$1001)-1,0,1,1)</definedName>
    <definedName name="Nom_Chauffeurs">Chauffeur!$B$4:OFFSET(Chauffeur!$B$4,COUNTA(Chauffeur!$B$4:$B$1000)-1,0,1,1)</definedName>
    <definedName name="Nom_Clients">Clients!$B$4:OFFSET(Clients!$B$4,COUNTA(Clients!$B$4:$B$1000)-1,0,1,1)</definedName>
    <definedName name="Nom_Fournisseurs">Fsseur!$B$4:OFFSET(Fsseur!$B$4,COUNTA(Fsseur!$B$4:$B$1001)-1,0,1,1)</definedName>
    <definedName name="Nom_Magasins">Magasin!$A$4:OFFSET(Magasin!$A$4,COUNTA(Magasin!$A$4:$A$20)-1,0,1,1)</definedName>
    <definedName name="Noms_MagasinsEtTous">Inventaire!$A$6:OFFSET(Inventaire!$A$6,COUNTA(Inventaire!$A$6:$A$99)-1,0,1,1)</definedName>
    <definedName name="Quantités">OrdresArticles!$E$4:OFFSET(OrdresArticles!$E$4,COUNTA(OrdresArticles!$E$4:$E$99982)-1,0,1,1)</definedName>
    <definedName name="Segment_Nom_client">#N/A</definedName>
    <definedName name="Segment_Nom_Fournisseur">#N/A</definedName>
    <definedName name="Segment_Nom_Magasin">#N/A</definedName>
  </definedNames>
  <calcPr calcId="162913"/>
  <pivotCaches>
    <pivotCache cacheId="96" r:id="rId22"/>
    <pivotCache cacheId="100" r:id="rId23"/>
    <pivotCache cacheId="104" r:id="rId24"/>
    <pivotCache cacheId="108" r:id="rId25"/>
    <pivotCache cacheId="111" r:id="rId26"/>
    <pivotCache cacheId="115" r:id="rId27"/>
  </pivotCaches>
  <extLst>
    <ext xmlns:x14="http://schemas.microsoft.com/office/spreadsheetml/2009/9/main" uri="{BBE1A952-AA13-448e-AADC-164F8A28A991}">
      <x14:slicerCaches>
        <x14:slicerCache r:id="rId28"/>
        <x14:slicerCache r:id="rId29"/>
        <x14:slicerCache r:id="rId3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1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13" l="1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AJ4" i="14"/>
  <c r="AK4" i="14"/>
  <c r="AL4" i="14"/>
  <c r="AM4" i="14"/>
  <c r="AN4" i="14"/>
  <c r="AJ15" i="14"/>
  <c r="AK15" i="14"/>
  <c r="AL15" i="14"/>
  <c r="AM15" i="14"/>
  <c r="AN15" i="14"/>
  <c r="AJ11" i="14"/>
  <c r="AK11" i="14"/>
  <c r="AL11" i="14"/>
  <c r="AM11" i="14"/>
  <c r="AN11" i="14"/>
  <c r="AJ10" i="14"/>
  <c r="AK10" i="14"/>
  <c r="AL10" i="14"/>
  <c r="AM10" i="14"/>
  <c r="AN10" i="14"/>
  <c r="AJ7" i="14"/>
  <c r="AK7" i="14"/>
  <c r="AL7" i="14"/>
  <c r="AM7" i="14"/>
  <c r="AN7" i="14"/>
  <c r="AJ6" i="14"/>
  <c r="AK6" i="14"/>
  <c r="AL6" i="14"/>
  <c r="AM6" i="14"/>
  <c r="AN6" i="14"/>
  <c r="AJ8" i="14"/>
  <c r="AK8" i="14"/>
  <c r="AL8" i="14"/>
  <c r="AM8" i="14"/>
  <c r="AN8" i="14"/>
  <c r="AJ14" i="14"/>
  <c r="AK14" i="14"/>
  <c r="AL14" i="14"/>
  <c r="AM14" i="14"/>
  <c r="AN14" i="14"/>
  <c r="AJ13" i="14"/>
  <c r="AK13" i="14"/>
  <c r="AL13" i="14"/>
  <c r="AM13" i="14"/>
  <c r="AN13" i="14"/>
  <c r="AJ16" i="14"/>
  <c r="AK16" i="14"/>
  <c r="AL16" i="14"/>
  <c r="AM16" i="14"/>
  <c r="AN16" i="14"/>
  <c r="AJ5" i="14"/>
  <c r="AK5" i="14"/>
  <c r="AL5" i="14"/>
  <c r="AM5" i="14"/>
  <c r="AN5" i="14"/>
  <c r="AJ18" i="14"/>
  <c r="AK18" i="14"/>
  <c r="AL18" i="14"/>
  <c r="AM18" i="14"/>
  <c r="AN18" i="14"/>
  <c r="AJ12" i="14"/>
  <c r="AK12" i="14"/>
  <c r="AL12" i="14"/>
  <c r="AM12" i="14"/>
  <c r="AN12" i="14"/>
  <c r="AJ17" i="14"/>
  <c r="AK17" i="14"/>
  <c r="AL17" i="14"/>
  <c r="AM17" i="14"/>
  <c r="AN17" i="14"/>
  <c r="AJ9" i="14"/>
  <c r="AK9" i="14"/>
  <c r="AL9" i="14"/>
  <c r="AM9" i="14"/>
  <c r="AN9" i="14"/>
  <c r="N52" i="14" l="1"/>
  <c r="N51" i="14"/>
  <c r="N50" i="14"/>
  <c r="N49" i="14"/>
  <c r="N48" i="14"/>
  <c r="N47" i="14"/>
  <c r="N46" i="14"/>
  <c r="N45" i="14"/>
  <c r="N44" i="14"/>
  <c r="N43" i="14"/>
  <c r="N42" i="14"/>
  <c r="N41" i="14"/>
  <c r="N40" i="14"/>
  <c r="N39" i="14"/>
  <c r="N38" i="14"/>
  <c r="N37" i="14"/>
  <c r="N36" i="14"/>
  <c r="N35" i="14"/>
  <c r="N34" i="14"/>
  <c r="N33" i="14"/>
  <c r="N32" i="14"/>
  <c r="N31" i="14"/>
  <c r="N30" i="14"/>
  <c r="N29" i="14"/>
  <c r="N28" i="14"/>
  <c r="N27" i="14"/>
  <c r="N26" i="14"/>
  <c r="N25" i="14"/>
  <c r="N24" i="14"/>
  <c r="N23" i="14"/>
  <c r="N22" i="14"/>
  <c r="N21" i="14"/>
  <c r="N20" i="14"/>
  <c r="N19" i="14"/>
  <c r="N18" i="14"/>
  <c r="N17" i="14"/>
  <c r="N16" i="14"/>
  <c r="N15" i="14" l="1"/>
  <c r="N14" i="14" l="1"/>
  <c r="J4" i="7" l="1"/>
  <c r="N13" i="14"/>
  <c r="N12" i="14"/>
  <c r="N11" i="14"/>
  <c r="N10" i="14"/>
  <c r="N9" i="14"/>
  <c r="N8" i="14"/>
  <c r="N7" i="14"/>
  <c r="N6" i="14"/>
  <c r="N5" i="14"/>
  <c r="AF4" i="14"/>
  <c r="Q4" i="14"/>
  <c r="P4" i="14"/>
  <c r="N4" i="14"/>
  <c r="AM3" i="14"/>
  <c r="AL3" i="14"/>
  <c r="AK3" i="14"/>
  <c r="AJ3" i="14"/>
  <c r="A10" i="13"/>
  <c r="K9" i="13"/>
  <c r="A9" i="13"/>
  <c r="A8" i="13"/>
  <c r="K7" i="13"/>
  <c r="A7" i="13"/>
  <c r="B4" i="13"/>
  <c r="B3" i="13"/>
  <c r="I11" i="11"/>
  <c r="H11" i="11"/>
  <c r="B8" i="11"/>
  <c r="B7" i="11"/>
  <c r="B6" i="11"/>
  <c r="B5" i="11"/>
  <c r="B4" i="11"/>
  <c r="K3" i="11"/>
  <c r="B3" i="11"/>
  <c r="L2" i="11"/>
  <c r="B2" i="11"/>
  <c r="H11" i="4"/>
  <c r="B8" i="4"/>
  <c r="B7" i="4"/>
  <c r="B6" i="4"/>
  <c r="B5" i="4"/>
  <c r="B4" i="4"/>
  <c r="K3" i="4"/>
  <c r="B3" i="4"/>
  <c r="L2" i="4"/>
  <c r="B2" i="4"/>
  <c r="AG5" i="14" l="1"/>
  <c r="K4" i="13"/>
  <c r="AN3" i="14"/>
</calcChain>
</file>

<file path=xl/sharedStrings.xml><?xml version="1.0" encoding="utf-8"?>
<sst xmlns="http://schemas.openxmlformats.org/spreadsheetml/2006/main" count="1028" uniqueCount="284">
  <si>
    <t>Email</t>
  </si>
  <si>
    <t>Contact</t>
  </si>
  <si>
    <t>Bettys Electronics</t>
  </si>
  <si>
    <t>LTD Parts</t>
  </si>
  <si>
    <t>Motherboards Inc.</t>
  </si>
  <si>
    <t>ID</t>
  </si>
  <si>
    <t>Nom Fournisseur</t>
  </si>
  <si>
    <t>Téléphone</t>
  </si>
  <si>
    <t>Adresse</t>
  </si>
  <si>
    <t>Ville</t>
  </si>
  <si>
    <t>Etat</t>
  </si>
  <si>
    <t>BP</t>
  </si>
  <si>
    <t>Fournisseurs</t>
  </si>
  <si>
    <t xml:space="preserve">Pays </t>
  </si>
  <si>
    <t>Région</t>
  </si>
  <si>
    <t>Nom Magasin</t>
  </si>
  <si>
    <t>Magasins</t>
  </si>
  <si>
    <t>Mercedes Minivan</t>
  </si>
  <si>
    <t>Chassis Cab</t>
  </si>
  <si>
    <t>Type d'ordre</t>
  </si>
  <si>
    <t>Temps</t>
  </si>
  <si>
    <t>Fsseur/Client</t>
  </si>
  <si>
    <t>Du Fsseur ou Magasin</t>
  </si>
  <si>
    <t>Magasin de réception</t>
  </si>
  <si>
    <t>Chauffeur</t>
  </si>
  <si>
    <t>Camion</t>
  </si>
  <si>
    <t>Ordres</t>
  </si>
  <si>
    <t>Reception</t>
  </si>
  <si>
    <t>Transfert</t>
  </si>
  <si>
    <t>Fournisseur</t>
  </si>
  <si>
    <t>Notes</t>
  </si>
  <si>
    <t>ID Ordre</t>
  </si>
  <si>
    <t>Qté</t>
  </si>
  <si>
    <t>Magasin</t>
  </si>
  <si>
    <t>ARTICLES RECUS</t>
  </si>
  <si>
    <t/>
  </si>
  <si>
    <t>Ligne Ordre</t>
  </si>
  <si>
    <t>Prochain ordre</t>
  </si>
  <si>
    <t>Ligne Chauffeur</t>
  </si>
  <si>
    <t>Ligne Camion</t>
  </si>
  <si>
    <t>Ligne Fsseur/Mag de départ</t>
  </si>
  <si>
    <t>Ligne mag de réception</t>
  </si>
  <si>
    <t>Ligne ID recherché</t>
  </si>
  <si>
    <t>Ordre chargé?</t>
  </si>
  <si>
    <t>Type</t>
  </si>
  <si>
    <t>Part #</t>
  </si>
  <si>
    <t>UOM</t>
  </si>
  <si>
    <t>Category</t>
  </si>
  <si>
    <t>Purchase Desc.</t>
  </si>
  <si>
    <t>F4516</t>
  </si>
  <si>
    <t>each</t>
  </si>
  <si>
    <t>F4517</t>
  </si>
  <si>
    <t>F4518</t>
  </si>
  <si>
    <t>F4519</t>
  </si>
  <si>
    <t>F4520</t>
  </si>
  <si>
    <t>F4521</t>
  </si>
  <si>
    <t>F4522</t>
  </si>
  <si>
    <t>F4523</t>
  </si>
  <si>
    <t>F4524</t>
  </si>
  <si>
    <t>F54584</t>
  </si>
  <si>
    <t>F4515</t>
  </si>
  <si>
    <t>1D515</t>
  </si>
  <si>
    <t>1D516</t>
  </si>
  <si>
    <t>1D517</t>
  </si>
  <si>
    <t>1D519</t>
  </si>
  <si>
    <t>hour</t>
  </si>
  <si>
    <t>1D520</t>
  </si>
  <si>
    <t>Fred Fredders@gmail.com</t>
  </si>
  <si>
    <t>Dave Davidson@gmail.com</t>
  </si>
  <si>
    <t>Peter Parker@gmail.com</t>
  </si>
  <si>
    <t>Mary Smith@gmail.com</t>
  </si>
  <si>
    <t>Mark Mason@gmail.com</t>
  </si>
  <si>
    <t>ID chauffeur</t>
  </si>
  <si>
    <t>Nom chauffeur</t>
  </si>
  <si>
    <t>CHAUFFEUR</t>
  </si>
  <si>
    <t>ID Camion</t>
  </si>
  <si>
    <t>Nom Camion</t>
  </si>
  <si>
    <t>Modèle</t>
  </si>
  <si>
    <t>Tonnes</t>
  </si>
  <si>
    <t>Au</t>
  </si>
  <si>
    <t>Clients</t>
  </si>
  <si>
    <t>Nom client</t>
  </si>
  <si>
    <t>Region</t>
  </si>
  <si>
    <t>ID client</t>
  </si>
  <si>
    <t>Trié par</t>
  </si>
  <si>
    <t>PU</t>
  </si>
  <si>
    <t>Total ajustement</t>
  </si>
  <si>
    <t>Montant</t>
  </si>
  <si>
    <t>Nom Article</t>
  </si>
  <si>
    <t>Nom article</t>
  </si>
  <si>
    <t>De / A</t>
  </si>
  <si>
    <t xml:space="preserve">Venant de </t>
  </si>
  <si>
    <t>Allant A</t>
  </si>
  <si>
    <t>Ligne article</t>
  </si>
  <si>
    <t>Ligne</t>
  </si>
  <si>
    <t>D6</t>
  </si>
  <si>
    <t>L4</t>
  </si>
  <si>
    <t>Num ID</t>
  </si>
  <si>
    <t>Total de l'ordre</t>
  </si>
  <si>
    <t>Numéro Ordre recherché</t>
  </si>
  <si>
    <t>Sous-ligne ordre</t>
  </si>
  <si>
    <t>Feuille réception</t>
  </si>
  <si>
    <t>E4</t>
  </si>
  <si>
    <t>G4</t>
  </si>
  <si>
    <t>E6</t>
  </si>
  <si>
    <t>H6</t>
  </si>
  <si>
    <t>J4</t>
  </si>
  <si>
    <t>RECEPTION</t>
  </si>
  <si>
    <t>TRANSFERT</t>
  </si>
  <si>
    <t>AU</t>
  </si>
  <si>
    <t>Ligne Mag de départ</t>
  </si>
  <si>
    <t>Ligne Client/mag de réception</t>
  </si>
  <si>
    <t>ID Inventaire</t>
  </si>
  <si>
    <t>Ligne ID Inv.</t>
  </si>
  <si>
    <t>Prochain ID</t>
  </si>
  <si>
    <t>Liste Mag</t>
  </si>
  <si>
    <t>[Tous Les magasins]</t>
  </si>
  <si>
    <t>INVENTAIRE PHYSIQUE</t>
  </si>
  <si>
    <t>Date</t>
  </si>
  <si>
    <t>ARTICLES EN STOCK</t>
  </si>
  <si>
    <t>Copier ici d'abord l'extraction des données des articles - Ordres à coller dans la feuille réception ou transfert</t>
  </si>
  <si>
    <t>Copier ici d'abord l'extraction des données des articles à coller dans la feuille Inventaire</t>
  </si>
  <si>
    <t>Qté théo.</t>
  </si>
  <si>
    <t>Critère inventaire</t>
  </si>
  <si>
    <t>Exemple de formule à copier à l'aide du VBA vers le bas</t>
  </si>
  <si>
    <t>Trier via la colonne</t>
  </si>
  <si>
    <t>Categorie</t>
  </si>
  <si>
    <t>Qté inventaire</t>
  </si>
  <si>
    <t>ID Article</t>
  </si>
  <si>
    <t>Code Article</t>
  </si>
  <si>
    <t>Description Achat</t>
  </si>
  <si>
    <t>Description vente</t>
  </si>
  <si>
    <t>Qté achetée min</t>
  </si>
  <si>
    <t>Qté vendue min</t>
  </si>
  <si>
    <t>Cout unitaire</t>
  </si>
  <si>
    <t>Prix de vente</t>
  </si>
  <si>
    <t>Stock minimum</t>
  </si>
  <si>
    <t>Type ordre</t>
  </si>
  <si>
    <t>Ajustements d'inventaire</t>
  </si>
  <si>
    <t>ID Ajustement</t>
  </si>
  <si>
    <t>1</t>
  </si>
  <si>
    <t>Mapping</t>
  </si>
  <si>
    <t>Ordres articles</t>
  </si>
  <si>
    <t>Waid</t>
  </si>
  <si>
    <t>CE</t>
  </si>
  <si>
    <t>C</t>
  </si>
  <si>
    <t>Mohamed</t>
  </si>
  <si>
    <t>Birahim</t>
  </si>
  <si>
    <t>Lhosine</t>
  </si>
  <si>
    <t>Ali Bojaif</t>
  </si>
  <si>
    <t>Marrakech</t>
  </si>
  <si>
    <t>gemaplast@gmail.com</t>
  </si>
  <si>
    <t>Habril</t>
  </si>
  <si>
    <t>Remorque</t>
  </si>
  <si>
    <t>4 roue</t>
  </si>
  <si>
    <t>5 roue</t>
  </si>
  <si>
    <t>6 roue</t>
  </si>
  <si>
    <t>Magasin PCS</t>
  </si>
  <si>
    <t>Magasin PF</t>
  </si>
  <si>
    <t>Magasin MP Ext</t>
  </si>
  <si>
    <t>local, gemaplast</t>
  </si>
  <si>
    <t>marrakech</t>
  </si>
  <si>
    <t>Zone</t>
  </si>
  <si>
    <t>interieur</t>
  </si>
  <si>
    <t>Exterieur</t>
  </si>
  <si>
    <t>Maroc</t>
  </si>
  <si>
    <t>Fournisseur MP1</t>
  </si>
  <si>
    <t>Fournisseur MP2</t>
  </si>
  <si>
    <t>Fournisseur MP3</t>
  </si>
  <si>
    <t>Fournisseur PCS</t>
  </si>
  <si>
    <t>Fournisseur Delta prefa</t>
  </si>
  <si>
    <t>F@gmail.com</t>
  </si>
  <si>
    <t>Agent gema</t>
  </si>
  <si>
    <t>Agent gema1</t>
  </si>
  <si>
    <t>Agent gema2</t>
  </si>
  <si>
    <t>Agent gema3</t>
  </si>
  <si>
    <t>Agent gema4</t>
  </si>
  <si>
    <t>Marrakech harbil Z1</t>
  </si>
  <si>
    <t>Marrakech harbil Z2</t>
  </si>
  <si>
    <t>Marrakech harbil Z3</t>
  </si>
  <si>
    <t>Marrakech harbil Z4</t>
  </si>
  <si>
    <t>Marrakech harbil Z5</t>
  </si>
  <si>
    <t>safi</t>
  </si>
  <si>
    <t>casablanca</t>
  </si>
  <si>
    <t>rabat</t>
  </si>
  <si>
    <t>agadir</t>
  </si>
  <si>
    <t>client 1</t>
  </si>
  <si>
    <t>client 2</t>
  </si>
  <si>
    <t>client 3</t>
  </si>
  <si>
    <t>client 4</t>
  </si>
  <si>
    <t>client 5</t>
  </si>
  <si>
    <t>C1@gmail.com</t>
  </si>
  <si>
    <t>C2@gmail.com</t>
  </si>
  <si>
    <t>C3@gmail.com</t>
  </si>
  <si>
    <t>C4@gmail.com</t>
  </si>
  <si>
    <t>C5@gmail.com</t>
  </si>
  <si>
    <t>Habril  p11, marrakech</t>
  </si>
  <si>
    <t>casaport  p11, marrakech</t>
  </si>
  <si>
    <t>ocean  p11, marrakech</t>
  </si>
  <si>
    <t xml:space="preserve">  p11, marrakech</t>
  </si>
  <si>
    <t>marrakech,safi</t>
  </si>
  <si>
    <t>Site de production</t>
  </si>
  <si>
    <t>RESINE</t>
  </si>
  <si>
    <t>La CIRE</t>
  </si>
  <si>
    <t>DIOXYDE DE TITANE</t>
  </si>
  <si>
    <t>NOIR DE CARBONE</t>
  </si>
  <si>
    <t>STABILISANT PVC LFR6035</t>
  </si>
  <si>
    <t>STABILISANT PVC  LPM88</t>
  </si>
  <si>
    <t>PIGEMENT ORANGE</t>
  </si>
  <si>
    <t>PEHD PE100</t>
  </si>
  <si>
    <t>COLORANT BLEU LB</t>
  </si>
  <si>
    <t xml:space="preserve">COLORANT BLEU </t>
  </si>
  <si>
    <t xml:space="preserve">COLORANT NOIR </t>
  </si>
  <si>
    <t>CHARGE DOUBLE PAROI MICRO MB</t>
  </si>
  <si>
    <t>SOUFLAGE NOIR</t>
  </si>
  <si>
    <t>GRAINS PE INJECTION</t>
  </si>
  <si>
    <t>SOUFLAGE BLEU</t>
  </si>
  <si>
    <t>GOUTE A GOUTE</t>
  </si>
  <si>
    <t>SOUFLAGE NOIR LB PN 16</t>
  </si>
  <si>
    <t>SOUFLAGE NOIR LB PN 6</t>
  </si>
  <si>
    <t>GRAINS TRANSPARANT</t>
  </si>
  <si>
    <t>MELANGE NOIRE DP</t>
  </si>
  <si>
    <t>MELANGE BLEU DP</t>
  </si>
  <si>
    <t>CHARGE PVC</t>
  </si>
  <si>
    <t xml:space="preserve">STABILISANT KIMSTAB </t>
  </si>
  <si>
    <t>STABILISANT PVC AKROBAN</t>
  </si>
  <si>
    <t>MICRONISE PVC ASSAIN.</t>
  </si>
  <si>
    <t>MICRONISE PVC PRESSION</t>
  </si>
  <si>
    <t>MELANGE PVC PRESSION</t>
  </si>
  <si>
    <t>MP</t>
  </si>
  <si>
    <t>S48HD1</t>
  </si>
  <si>
    <t>S48HD2</t>
  </si>
  <si>
    <t>GT234</t>
  </si>
  <si>
    <t>MND23</t>
  </si>
  <si>
    <t>MP23</t>
  </si>
  <si>
    <t>MP24</t>
  </si>
  <si>
    <t>ST345</t>
  </si>
  <si>
    <t>MICRO PVC</t>
  </si>
  <si>
    <t>MP PVC PRESSION</t>
  </si>
  <si>
    <t>MP PVC ASSAINISSEMENT</t>
  </si>
  <si>
    <t>MP PEHD LB</t>
  </si>
  <si>
    <t>MP PEHD LN</t>
  </si>
  <si>
    <t>CIRE</t>
  </si>
  <si>
    <t>PF</t>
  </si>
  <si>
    <t>PE-ASS-300</t>
  </si>
  <si>
    <t>PE-ASS-DN200</t>
  </si>
  <si>
    <t>PE-ASS-DN400</t>
  </si>
  <si>
    <t>PE-ASS-DN500</t>
  </si>
  <si>
    <t>PVC-ASS-DN160</t>
  </si>
  <si>
    <t>PVC-ASS-DN200</t>
  </si>
  <si>
    <t>PVC-DN315</t>
  </si>
  <si>
    <t>PEHD</t>
  </si>
  <si>
    <t>PVC</t>
  </si>
  <si>
    <t>Melangeur</t>
  </si>
  <si>
    <t>à vendre</t>
  </si>
  <si>
    <t>Chariot elevateur</t>
  </si>
  <si>
    <t>GESTION DE STOCKS</t>
  </si>
  <si>
    <t>utilisateur</t>
  </si>
  <si>
    <t>mot de passe</t>
  </si>
  <si>
    <t>role</t>
  </si>
  <si>
    <t>kbo</t>
  </si>
  <si>
    <t>Admin</t>
  </si>
  <si>
    <t>lol</t>
  </si>
  <si>
    <t>User</t>
  </si>
  <si>
    <t>Moustapha</t>
  </si>
  <si>
    <t>Hicham</t>
  </si>
  <si>
    <t>chef</t>
  </si>
  <si>
    <t>Étiquettes de lignes</t>
  </si>
  <si>
    <t>Total général</t>
  </si>
  <si>
    <t>2022</t>
  </si>
  <si>
    <t>2023</t>
  </si>
  <si>
    <t>Nombre de Magasin de réception</t>
  </si>
  <si>
    <t>Nombre de Qté achetée min</t>
  </si>
  <si>
    <t>Somme de Qté vendue min</t>
  </si>
  <si>
    <t>Mouvement stock</t>
  </si>
  <si>
    <t>Date activité</t>
  </si>
  <si>
    <t>Nombre de Ville</t>
  </si>
  <si>
    <t>Étiquettes de colonnes</t>
  </si>
  <si>
    <t>Nombre de Adresse</t>
  </si>
  <si>
    <t>Nombre de Region</t>
  </si>
  <si>
    <t>Somme de Montant</t>
  </si>
  <si>
    <t>Client</t>
  </si>
  <si>
    <t>Inventaire</t>
  </si>
  <si>
    <t>[Tous les magasins]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</si>
</sst>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[$-F400]h:mm:ss\ AM/PM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Verdana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Verdana"/>
      <family val="2"/>
    </font>
    <font>
      <sz val="20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A310A"/>
        <bgColor indexed="64"/>
      </patternFill>
    </fill>
    <fill>
      <patternFill patternType="solid">
        <fgColor rgb="FF9D480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138">
    <xf numFmtId="0" fontId="0" fillId="0" borderId="0" xfId="0"/>
    <xf numFmtId="0" fontId="2" fillId="0" borderId="0" xfId="0" applyFont="1"/>
    <xf numFmtId="164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 applyBorder="1"/>
    <xf numFmtId="0" fontId="2" fillId="3" borderId="0" xfId="0" applyFont="1" applyFill="1" applyBorder="1"/>
    <xf numFmtId="0" fontId="6" fillId="3" borderId="0" xfId="0" applyFont="1" applyFill="1" applyBorder="1"/>
    <xf numFmtId="0" fontId="0" fillId="4" borderId="0" xfId="0" applyFill="1" applyBorder="1" applyAlignment="1"/>
    <xf numFmtId="0" fontId="0" fillId="4" borderId="0" xfId="0" applyFill="1" applyBorder="1"/>
    <xf numFmtId="0" fontId="0" fillId="4" borderId="14" xfId="0" applyFill="1" applyBorder="1"/>
    <xf numFmtId="14" fontId="0" fillId="4" borderId="14" xfId="0" applyNumberFormat="1" applyFill="1" applyBorder="1"/>
    <xf numFmtId="164" fontId="0" fillId="4" borderId="14" xfId="0" applyNumberFormat="1" applyFill="1" applyBorder="1"/>
    <xf numFmtId="0" fontId="0" fillId="4" borderId="16" xfId="0" applyFill="1" applyBorder="1"/>
    <xf numFmtId="0" fontId="0" fillId="4" borderId="14" xfId="0" applyFill="1" applyBorder="1" applyAlignment="1"/>
    <xf numFmtId="0" fontId="0" fillId="4" borderId="15" xfId="0" applyFill="1" applyBorder="1"/>
    <xf numFmtId="0" fontId="7" fillId="5" borderId="4" xfId="0" applyFont="1" applyFill="1" applyBorder="1" applyAlignment="1">
      <alignment horizontal="centerContinuous"/>
    </xf>
    <xf numFmtId="0" fontId="4" fillId="5" borderId="5" xfId="0" applyFont="1" applyFill="1" applyBorder="1" applyAlignment="1">
      <alignment horizontal="centerContinuous"/>
    </xf>
    <xf numFmtId="0" fontId="4" fillId="5" borderId="6" xfId="0" applyFont="1" applyFill="1" applyBorder="1" applyAlignment="1">
      <alignment horizontal="centerContinuous"/>
    </xf>
    <xf numFmtId="0" fontId="0" fillId="3" borderId="10" xfId="0" applyFill="1" applyBorder="1"/>
    <xf numFmtId="0" fontId="0" fillId="3" borderId="9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4" fillId="6" borderId="7" xfId="0" applyFont="1" applyFill="1" applyBorder="1"/>
    <xf numFmtId="0" fontId="4" fillId="6" borderId="1" xfId="0" applyFont="1" applyFill="1" applyBorder="1"/>
    <xf numFmtId="0" fontId="4" fillId="6" borderId="2" xfId="0" applyFont="1" applyFill="1" applyBorder="1"/>
    <xf numFmtId="0" fontId="4" fillId="6" borderId="3" xfId="0" applyFont="1" applyFill="1" applyBorder="1"/>
    <xf numFmtId="0" fontId="4" fillId="6" borderId="8" xfId="0" applyFont="1" applyFill="1" applyBorder="1"/>
    <xf numFmtId="0" fontId="0" fillId="7" borderId="0" xfId="0" applyFill="1"/>
    <xf numFmtId="0" fontId="2" fillId="7" borderId="0" xfId="0" applyFont="1" applyFill="1"/>
    <xf numFmtId="0" fontId="3" fillId="3" borderId="0" xfId="0" applyFont="1" applyFill="1" applyBorder="1" applyAlignment="1">
      <alignment wrapText="1"/>
    </xf>
    <xf numFmtId="41" fontId="3" fillId="3" borderId="0" xfId="1" applyNumberFormat="1" applyFont="1" applyFill="1" applyBorder="1" applyAlignment="1">
      <alignment vertical="center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4" borderId="17" xfId="0" applyFill="1" applyBorder="1"/>
    <xf numFmtId="0" fontId="2" fillId="4" borderId="9" xfId="0" applyFont="1" applyFill="1" applyBorder="1"/>
    <xf numFmtId="0" fontId="0" fillId="4" borderId="18" xfId="0" applyFill="1" applyBorder="1"/>
    <xf numFmtId="14" fontId="2" fillId="0" borderId="0" xfId="0" applyNumberFormat="1" applyFont="1"/>
    <xf numFmtId="0" fontId="0" fillId="4" borderId="9" xfId="0" applyFill="1" applyBorder="1" applyAlignment="1"/>
    <xf numFmtId="41" fontId="0" fillId="4" borderId="0" xfId="1" applyFont="1" applyFill="1" applyBorder="1"/>
    <xf numFmtId="0" fontId="0" fillId="4" borderId="10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8" fillId="5" borderId="0" xfId="0" applyFont="1" applyFill="1" applyBorder="1" applyAlignment="1">
      <alignment horizontal="centerContinuous"/>
    </xf>
    <xf numFmtId="0" fontId="8" fillId="5" borderId="0" xfId="0" applyFont="1" applyFill="1" applyBorder="1" applyAlignment="1">
      <alignment horizontal="centerContinuous" vertical="center"/>
    </xf>
    <xf numFmtId="0" fontId="8" fillId="8" borderId="0" xfId="0" applyFont="1" applyFill="1" applyBorder="1" applyAlignment="1">
      <alignment horizontal="centerContinuous" vertical="center"/>
    </xf>
    <xf numFmtId="0" fontId="5" fillId="8" borderId="0" xfId="0" applyFont="1" applyFill="1" applyBorder="1" applyAlignment="1">
      <alignment horizontal="centerContinuous"/>
    </xf>
    <xf numFmtId="0" fontId="3" fillId="4" borderId="9" xfId="0" applyFont="1" applyFill="1" applyBorder="1"/>
    <xf numFmtId="0" fontId="9" fillId="4" borderId="14" xfId="0" applyFont="1" applyFill="1" applyBorder="1" applyAlignment="1">
      <alignment vertical="center"/>
    </xf>
    <xf numFmtId="0" fontId="0" fillId="3" borderId="0" xfId="0" applyFill="1"/>
    <xf numFmtId="41" fontId="0" fillId="4" borderId="12" xfId="1" applyFont="1" applyFill="1" applyBorder="1"/>
    <xf numFmtId="41" fontId="0" fillId="0" borderId="0" xfId="1" applyFont="1"/>
    <xf numFmtId="0" fontId="7" fillId="8" borderId="4" xfId="0" applyFont="1" applyFill="1" applyBorder="1" applyAlignment="1">
      <alignment horizontal="centerContinuous"/>
    </xf>
    <xf numFmtId="0" fontId="4" fillId="8" borderId="5" xfId="0" applyFont="1" applyFill="1" applyBorder="1" applyAlignment="1">
      <alignment horizontal="centerContinuous"/>
    </xf>
    <xf numFmtId="0" fontId="4" fillId="8" borderId="6" xfId="0" applyFont="1" applyFill="1" applyBorder="1" applyAlignment="1">
      <alignment horizontal="centerContinuous"/>
    </xf>
    <xf numFmtId="0" fontId="4" fillId="9" borderId="7" xfId="0" applyFont="1" applyFill="1" applyBorder="1"/>
    <xf numFmtId="0" fontId="4" fillId="9" borderId="1" xfId="0" applyFont="1" applyFill="1" applyBorder="1"/>
    <xf numFmtId="0" fontId="4" fillId="9" borderId="2" xfId="0" applyFont="1" applyFill="1" applyBorder="1"/>
    <xf numFmtId="0" fontId="4" fillId="9" borderId="3" xfId="0" applyFont="1" applyFill="1" applyBorder="1"/>
    <xf numFmtId="0" fontId="4" fillId="9" borderId="8" xfId="0" applyFont="1" applyFill="1" applyBorder="1"/>
    <xf numFmtId="14" fontId="0" fillId="4" borderId="14" xfId="0" applyNumberFormat="1" applyFill="1" applyBorder="1" applyAlignment="1">
      <alignment vertical="center"/>
    </xf>
    <xf numFmtId="164" fontId="0" fillId="4" borderId="14" xfId="0" applyNumberFormat="1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10" borderId="0" xfId="0" applyFill="1"/>
    <xf numFmtId="0" fontId="2" fillId="10" borderId="0" xfId="0" applyFont="1" applyFill="1"/>
    <xf numFmtId="0" fontId="0" fillId="0" borderId="0" xfId="0" applyFill="1"/>
    <xf numFmtId="0" fontId="2" fillId="0" borderId="0" xfId="0" applyFont="1" applyFill="1"/>
    <xf numFmtId="0" fontId="0" fillId="11" borderId="0" xfId="0" applyFill="1"/>
    <xf numFmtId="0" fontId="2" fillId="11" borderId="0" xfId="0" applyFont="1" applyFill="1"/>
    <xf numFmtId="0" fontId="0" fillId="12" borderId="0" xfId="0" applyFill="1"/>
    <xf numFmtId="0" fontId="0" fillId="3" borderId="9" xfId="0" applyFill="1" applyBorder="1" applyAlignment="1">
      <alignment vertical="center"/>
    </xf>
    <xf numFmtId="0" fontId="0" fillId="3" borderId="9" xfId="0" applyFont="1" applyFill="1" applyBorder="1" applyAlignment="1">
      <alignment vertical="center" wrapText="1"/>
    </xf>
    <xf numFmtId="0" fontId="0" fillId="7" borderId="0" xfId="0" applyFill="1" applyAlignment="1">
      <alignment horizontal="center"/>
    </xf>
    <xf numFmtId="0" fontId="2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0" fillId="0" borderId="9" xfId="0" applyBorder="1"/>
    <xf numFmtId="0" fontId="0" fillId="0" borderId="0" xfId="0" applyBorder="1"/>
    <xf numFmtId="41" fontId="0" fillId="0" borderId="0" xfId="1" applyNumberFormat="1" applyFont="1" applyBorder="1" applyAlignment="1">
      <alignment horizontal="center" vertical="center"/>
    </xf>
    <xf numFmtId="41" fontId="0" fillId="0" borderId="10" xfId="1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7" fillId="13" borderId="4" xfId="0" applyFont="1" applyFill="1" applyBorder="1" applyAlignment="1">
      <alignment horizontal="centerContinuous"/>
    </xf>
    <xf numFmtId="0" fontId="7" fillId="13" borderId="5" xfId="0" applyFont="1" applyFill="1" applyBorder="1" applyAlignment="1">
      <alignment horizontal="centerContinuous"/>
    </xf>
    <xf numFmtId="0" fontId="7" fillId="13" borderId="6" xfId="0" applyFont="1" applyFill="1" applyBorder="1" applyAlignment="1">
      <alignment horizontal="centerContinuous"/>
    </xf>
    <xf numFmtId="0" fontId="4" fillId="14" borderId="9" xfId="0" applyFont="1" applyFill="1" applyBorder="1"/>
    <xf numFmtId="0" fontId="4" fillId="14" borderId="0" xfId="0" applyFont="1" applyFill="1" applyBorder="1"/>
    <xf numFmtId="0" fontId="4" fillId="14" borderId="0" xfId="0" applyFont="1" applyFill="1" applyBorder="1" applyAlignment="1">
      <alignment horizontal="center"/>
    </xf>
    <xf numFmtId="0" fontId="4" fillId="14" borderId="10" xfId="0" applyFont="1" applyFill="1" applyBorder="1"/>
    <xf numFmtId="0" fontId="11" fillId="14" borderId="5" xfId="0" applyFont="1" applyFill="1" applyBorder="1" applyAlignment="1">
      <alignment horizontal="centerContinuous"/>
    </xf>
    <xf numFmtId="0" fontId="12" fillId="14" borderId="5" xfId="0" applyFont="1" applyFill="1" applyBorder="1" applyAlignment="1">
      <alignment horizontal="centerContinuous"/>
    </xf>
    <xf numFmtId="0" fontId="3" fillId="4" borderId="0" xfId="0" applyFont="1" applyFill="1" applyBorder="1"/>
    <xf numFmtId="0" fontId="3" fillId="3" borderId="9" xfId="0" applyFont="1" applyFill="1" applyBorder="1" applyAlignment="1">
      <alignment horizontal="right"/>
    </xf>
    <xf numFmtId="0" fontId="0" fillId="4" borderId="19" xfId="0" applyFill="1" applyBorder="1"/>
    <xf numFmtId="41" fontId="0" fillId="4" borderId="10" xfId="0" applyNumberFormat="1" applyFill="1" applyBorder="1"/>
    <xf numFmtId="0" fontId="2" fillId="15" borderId="0" xfId="0" applyFont="1" applyFill="1" applyAlignment="1">
      <alignment horizontal="centerContinuous"/>
    </xf>
    <xf numFmtId="0" fontId="0" fillId="15" borderId="0" xfId="0" applyFill="1" applyAlignment="1">
      <alignment horizontal="centerContinuous"/>
    </xf>
    <xf numFmtId="0" fontId="4" fillId="15" borderId="0" xfId="0" applyFont="1" applyFill="1" applyAlignment="1">
      <alignment horizontal="centerContinuous"/>
    </xf>
    <xf numFmtId="14" fontId="0" fillId="3" borderId="0" xfId="0" applyNumberFormat="1" applyFill="1"/>
    <xf numFmtId="0" fontId="2" fillId="10" borderId="0" xfId="0" applyFont="1" applyFill="1" applyAlignment="1">
      <alignment horizontal="centerContinuous"/>
    </xf>
    <xf numFmtId="0" fontId="0" fillId="10" borderId="0" xfId="0" applyFill="1" applyAlignment="1">
      <alignment horizontal="centerContinuous"/>
    </xf>
    <xf numFmtId="14" fontId="0" fillId="10" borderId="0" xfId="0" applyNumberFormat="1" applyFill="1" applyAlignment="1">
      <alignment horizontal="centerContinuous"/>
    </xf>
    <xf numFmtId="0" fontId="10" fillId="10" borderId="0" xfId="0" applyFont="1" applyFill="1" applyAlignment="1">
      <alignment horizontal="centerContinuous"/>
    </xf>
    <xf numFmtId="0" fontId="0" fillId="0" borderId="0" xfId="0" applyFill="1" applyBorder="1"/>
    <xf numFmtId="41" fontId="2" fillId="3" borderId="0" xfId="1" applyNumberFormat="1" applyFont="1" applyFill="1" applyBorder="1" applyAlignment="1">
      <alignment vertical="center"/>
    </xf>
    <xf numFmtId="0" fontId="5" fillId="5" borderId="4" xfId="0" applyFont="1" applyFill="1" applyBorder="1"/>
    <xf numFmtId="0" fontId="5" fillId="5" borderId="6" xfId="0" applyFont="1" applyFill="1" applyBorder="1"/>
    <xf numFmtId="0" fontId="13" fillId="3" borderId="0" xfId="2" applyFill="1" applyBorder="1"/>
    <xf numFmtId="0" fontId="13" fillId="0" borderId="0" xfId="2"/>
    <xf numFmtId="0" fontId="2" fillId="0" borderId="0" xfId="0" applyFont="1" applyAlignment="1">
      <alignment horizontal="center"/>
    </xf>
    <xf numFmtId="0" fontId="15" fillId="16" borderId="0" xfId="0" applyFont="1" applyFill="1" applyBorder="1"/>
    <xf numFmtId="0" fontId="0" fillId="17" borderId="0" xfId="0" applyFill="1"/>
    <xf numFmtId="0" fontId="0" fillId="18" borderId="0" xfId="0" applyFill="1" applyBorder="1"/>
    <xf numFmtId="0" fontId="0" fillId="18" borderId="0" xfId="0" applyFill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13" xfId="0" applyFill="1" applyBorder="1"/>
    <xf numFmtId="0" fontId="0" fillId="18" borderId="20" xfId="0" applyFill="1" applyBorder="1"/>
    <xf numFmtId="0" fontId="0" fillId="18" borderId="21" xfId="0" applyFill="1" applyBorder="1"/>
    <xf numFmtId="0" fontId="0" fillId="18" borderId="22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19" borderId="0" xfId="0" applyFill="1"/>
    <xf numFmtId="0" fontId="0" fillId="0" borderId="0" xfId="0" applyNumberFormat="1"/>
    <xf numFmtId="0" fontId="0" fillId="20" borderId="0" xfId="0" applyFill="1"/>
    <xf numFmtId="0" fontId="0" fillId="21" borderId="0" xfId="0" applyFill="1"/>
    <xf numFmtId="0" fontId="0" fillId="3" borderId="0" xfId="0" applyFill="1" applyBorder="1" applyAlignment="1">
      <alignment horizontal="left" vertical="top" wrapText="1"/>
    </xf>
    <xf numFmtId="0" fontId="14" fillId="5" borderId="5" xfId="0" applyFont="1" applyFill="1" applyBorder="1" applyAlignment="1">
      <alignment horizontal="center"/>
    </xf>
    <xf numFmtId="0" fontId="13" fillId="3" borderId="0" xfId="2" applyFill="1" applyBorder="1" applyAlignment="1">
      <alignment horizontal="left" vertical="top" wrapText="1"/>
    </xf>
  </cellXfs>
  <cellStyles count="3">
    <cellStyle name="Lien hypertexte" xfId="2" builtinId="8"/>
    <cellStyle name="Milliers [0]" xfId="1" builtinId="6"/>
    <cellStyle name="Normal" xfId="0" builtinId="0"/>
  </cellStyles>
  <dxfs count="2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164" formatCode="[$-F400]h:mm:ss\ AM/PM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D480F"/>
      <color rgb="FF823C0C"/>
      <color rgb="FF6A31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7/relationships/slicerCache" Target="slicerCaches/slicerCach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microsoft.com/office/2007/relationships/slicerCache" Target="slicerCaches/slicerCache3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[Outil Gestion Magasins (Enregistré automatiquement).xlsm]calculs!TBD mouvement</c:name>
    <c:fmtId val="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solidFill>
              <a:sysClr val="windowText" lastClr="000000">
                <a:lumMod val="65000"/>
                <a:lumOff val="35000"/>
                <a:alpha val="75000"/>
              </a:sys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solidFill>
              <a:sysClr val="windowText" lastClr="000000">
                <a:lumMod val="65000"/>
                <a:lumOff val="35000"/>
                <a:alpha val="75000"/>
              </a:sys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calculs!$B$3:$B$6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solidFill>
                <a:sysClr val="windowText" lastClr="000000">
                  <a:lumMod val="65000"/>
                  <a:lumOff val="35000"/>
                  <a:alpha val="75000"/>
                </a:sys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calculs!$A$7:$A$9</c:f>
              <c:strCache>
                <c:ptCount val="2"/>
                <c:pt idx="0">
                  <c:v>Reception</c:v>
                </c:pt>
                <c:pt idx="1">
                  <c:v>Transfert</c:v>
                </c:pt>
              </c:strCache>
            </c:strRef>
          </c:cat>
          <c:val>
            <c:numRef>
              <c:f>calculs!$B$7:$B$9</c:f>
              <c:numCache>
                <c:formatCode>General</c:formatCode>
                <c:ptCount val="2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A-4E88-A674-5A6D7625DBE1}"/>
            </c:ext>
          </c:extLst>
        </c:ser>
        <c:ser>
          <c:idx val="1"/>
          <c:order val="1"/>
          <c:tx>
            <c:strRef>
              <c:f>calculs!$C$3:$C$6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solidFill>
                <a:sysClr val="windowText" lastClr="000000">
                  <a:lumMod val="65000"/>
                  <a:lumOff val="35000"/>
                  <a:alpha val="75000"/>
                </a:sys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calculs!$A$7:$A$9</c:f>
              <c:strCache>
                <c:ptCount val="2"/>
                <c:pt idx="0">
                  <c:v>Reception</c:v>
                </c:pt>
                <c:pt idx="1">
                  <c:v>Transfert</c:v>
                </c:pt>
              </c:strCache>
            </c:strRef>
          </c:cat>
          <c:val>
            <c:numRef>
              <c:f>calculs!$C$7:$C$9</c:f>
              <c:numCache>
                <c:formatCode>General</c:formatCode>
                <c:ptCount val="2"/>
                <c:pt idx="0">
                  <c:v>12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0A-4E88-A674-5A6D7625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840582783"/>
        <c:axId val="1437201519"/>
      </c:barChart>
      <c:catAx>
        <c:axId val="184058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37201519"/>
        <c:crosses val="autoZero"/>
        <c:auto val="1"/>
        <c:lblAlgn val="ctr"/>
        <c:lblOffset val="100"/>
        <c:noMultiLvlLbl val="0"/>
      </c:catAx>
      <c:valAx>
        <c:axId val="143720151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4058278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[Outil Gestion Magasins (Enregistré automatiquement).xlsm]calculs!TBGestion</c:name>
    <c:fmtId val="8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calculs!$F$3</c:f>
              <c:strCache>
                <c:ptCount val="1"/>
                <c:pt idx="0">
                  <c:v>Nombre de Qté achetée min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calculs!$E$4:$E$10</c:f>
              <c:strCache>
                <c:ptCount val="6"/>
                <c:pt idx="0">
                  <c:v>CHARGE DOUBLE PAROI MICRO MB</c:v>
                </c:pt>
                <c:pt idx="1">
                  <c:v>CHARGE PVC</c:v>
                </c:pt>
                <c:pt idx="2">
                  <c:v>PVC-ASS-DN160</c:v>
                </c:pt>
                <c:pt idx="3">
                  <c:v>PVC-ASS-DN200</c:v>
                </c:pt>
                <c:pt idx="4">
                  <c:v>PVC-DN315</c:v>
                </c:pt>
                <c:pt idx="5">
                  <c:v>SOUFLAGE NOIR</c:v>
                </c:pt>
              </c:strCache>
            </c:strRef>
          </c:cat>
          <c:val>
            <c:numRef>
              <c:f>calculs!$F$4:$F$10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0-4C0E-ACF6-1888246163AE}"/>
            </c:ext>
          </c:extLst>
        </c:ser>
        <c:ser>
          <c:idx val="1"/>
          <c:order val="1"/>
          <c:tx>
            <c:strRef>
              <c:f>calculs!$G$3</c:f>
              <c:strCache>
                <c:ptCount val="1"/>
                <c:pt idx="0">
                  <c:v>Somme de Qté vendue min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calculs!$E$4:$E$10</c:f>
              <c:strCache>
                <c:ptCount val="6"/>
                <c:pt idx="0">
                  <c:v>CHARGE DOUBLE PAROI MICRO MB</c:v>
                </c:pt>
                <c:pt idx="1">
                  <c:v>CHARGE PVC</c:v>
                </c:pt>
                <c:pt idx="2">
                  <c:v>PVC-ASS-DN160</c:v>
                </c:pt>
                <c:pt idx="3">
                  <c:v>PVC-ASS-DN200</c:v>
                </c:pt>
                <c:pt idx="4">
                  <c:v>PVC-DN315</c:v>
                </c:pt>
                <c:pt idx="5">
                  <c:v>SOUFLAGE NOIR</c:v>
                </c:pt>
              </c:strCache>
            </c:strRef>
          </c:cat>
          <c:val>
            <c:numRef>
              <c:f>calculs!$G$4:$G$10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0-4C0E-ACF6-1888246163A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2682063"/>
        <c:axId val="1772684975"/>
      </c:barChart>
      <c:catAx>
        <c:axId val="17726820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72684975"/>
        <c:crosses val="autoZero"/>
        <c:auto val="1"/>
        <c:lblAlgn val="ctr"/>
        <c:lblOffset val="100"/>
        <c:noMultiLvlLbl val="0"/>
      </c:catAx>
      <c:valAx>
        <c:axId val="17726849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72682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[Outil Gestion Magasins (Enregistré automatiquement).xlsm]calculs!Tableau croisé dynamique5</c:name>
    <c:fmtId val="3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layout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calculs!$R$14:$R$15</c:f>
              <c:strCache>
                <c:ptCount val="1"/>
                <c:pt idx="0">
                  <c:v>Exterieur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1C2-46EB-B28D-3E41604AF5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1C2-46EB-B28D-3E41604AF5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1C2-46EB-B28D-3E41604AF5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1C2-46EB-B28D-3E41604AF5C6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calculs!$Q$16:$Q$20</c:f>
              <c:strCache>
                <c:ptCount val="4"/>
                <c:pt idx="0">
                  <c:v>Magasin MP Ext</c:v>
                </c:pt>
                <c:pt idx="1">
                  <c:v>Magasin PCS</c:v>
                </c:pt>
                <c:pt idx="2">
                  <c:v>Magasin PF</c:v>
                </c:pt>
                <c:pt idx="3">
                  <c:v>Site de production</c:v>
                </c:pt>
              </c:strCache>
            </c:strRef>
          </c:cat>
          <c:val>
            <c:numRef>
              <c:f>calculs!$R$16:$R$20</c:f>
              <c:numCache>
                <c:formatCode>General</c:formatCode>
                <c:ptCount val="4"/>
                <c:pt idx="0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2-46EB-B28D-3E41604AF5C6}"/>
            </c:ext>
          </c:extLst>
        </c:ser>
        <c:ser>
          <c:idx val="1"/>
          <c:order val="1"/>
          <c:tx>
            <c:strRef>
              <c:f>calculs!$S$14:$S$15</c:f>
              <c:strCache>
                <c:ptCount val="1"/>
                <c:pt idx="0">
                  <c:v>interieur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7CB-49ED-B501-10AFEFBEC9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7CB-49ED-B501-10AFEFBEC99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7CB-49ED-B501-10AFEFBEC99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7CB-49ED-B501-10AFEFBEC990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calculs!$Q$16:$Q$20</c:f>
              <c:strCache>
                <c:ptCount val="4"/>
                <c:pt idx="0">
                  <c:v>Magasin MP Ext</c:v>
                </c:pt>
                <c:pt idx="1">
                  <c:v>Magasin PCS</c:v>
                </c:pt>
                <c:pt idx="2">
                  <c:v>Magasin PF</c:v>
                </c:pt>
                <c:pt idx="3">
                  <c:v>Site de production</c:v>
                </c:pt>
              </c:strCache>
            </c:strRef>
          </c:cat>
          <c:val>
            <c:numRef>
              <c:f>calculs!$S$16:$S$20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8E5-4E33-B0EF-3DB88821D88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[Outil Gestion Magasins (Enregistré automatiquement).xlsm]calculs!Tableau croisé dynamique6</c:name>
    <c:fmtId val="2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layout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calculs!$Y$2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41E-43D2-9934-B499F15C84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41E-43D2-9934-B499F15C84E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calculs!$X$3:$X$5</c:f>
              <c:strCache>
                <c:ptCount val="2"/>
                <c:pt idx="0">
                  <c:v>2022</c:v>
                </c:pt>
                <c:pt idx="1">
                  <c:v>2023</c:v>
                </c:pt>
              </c:strCache>
            </c:strRef>
          </c:cat>
          <c:val>
            <c:numRef>
              <c:f>calculs!$Y$3:$Y$5</c:f>
              <c:numCache>
                <c:formatCode>General</c:formatCode>
                <c:ptCount val="2"/>
                <c:pt idx="0">
                  <c:v>78</c:v>
                </c:pt>
                <c:pt idx="1">
                  <c:v>-2068741.2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1E-43D2-9934-B499F15C84E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5">
  <dgm:title val=""/>
  <dgm:desc val=""/>
  <dgm:catLst>
    <dgm:cat type="colorful" pri="10500"/>
  </dgm:catLst>
  <dgm:styleLbl name="node0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5"/>
      <a:schemeClr val="accent6"/>
    </dgm:fillClrLst>
    <dgm:linClrLst>
      <a:schemeClr val="accent5"/>
      <a:schemeClr val="accent6"/>
    </dgm:linClrLst>
    <dgm:effectClrLst/>
    <dgm:txLinClrLst/>
    <dgm:txFillClrLst/>
    <dgm:txEffectClrLst/>
  </dgm:styleLbl>
  <dgm:styleLbl name="ln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6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1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6">
        <a:tint val="9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6">
        <a:tint val="7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40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5B88E51-490C-48F0-AD57-6BAB1EBA6B89}" type="doc">
      <dgm:prSet loTypeId="urn:microsoft.com/office/officeart/2005/8/layout/vList5" loCatId="list" qsTypeId="urn:microsoft.com/office/officeart/2005/8/quickstyle/simple1" qsCatId="simple" csTypeId="urn:microsoft.com/office/officeart/2005/8/colors/colorful5" csCatId="colorful" phldr="1"/>
      <dgm:spPr/>
      <dgm:t>
        <a:bodyPr/>
        <a:lstStyle/>
        <a:p>
          <a:endParaRPr lang="fr-FR"/>
        </a:p>
      </dgm:t>
    </dgm:pt>
    <dgm:pt modelId="{2C427F15-863A-4D79-ADE7-F0804CAC756B}">
      <dgm:prSet phldrT="[Texte]"/>
      <dgm:spPr>
        <a:xfrm>
          <a:off x="0" y="176"/>
          <a:ext cx="2023110" cy="533243"/>
        </a:xfrm>
        <a:prstGeom prst="roundRect">
          <a:avLst/>
        </a:prstGeom>
        <a:solidFill>
          <a:srgbClr val="4BACC6">
            <a:hueOff val="0"/>
            <a:satOff val="0"/>
            <a:lumOff val="0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</a:ln>
        <a:effectLst/>
      </dgm:spPr>
      <dgm:t>
        <a:bodyPr/>
        <a:lstStyle/>
        <a:p>
          <a:pPr>
            <a:buNone/>
          </a:pPr>
          <a:r>
            <a:rPr lang="fr-FR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Raison Sociale</a:t>
          </a:r>
        </a:p>
      </dgm:t>
    </dgm:pt>
    <dgm:pt modelId="{A2E62FAF-1BCA-473D-9A29-326550562CBE}" type="parTrans" cxnId="{34DF9CD8-E2B3-4668-B985-1EB5C66DC43F}">
      <dgm:prSet/>
      <dgm:spPr/>
      <dgm:t>
        <a:bodyPr/>
        <a:lstStyle/>
        <a:p>
          <a:endParaRPr lang="fr-FR"/>
        </a:p>
      </dgm:t>
    </dgm:pt>
    <dgm:pt modelId="{FD6286FA-F990-48A0-90B4-387DDC894C9A}" type="sibTrans" cxnId="{34DF9CD8-E2B3-4668-B985-1EB5C66DC43F}">
      <dgm:prSet/>
      <dgm:spPr/>
      <dgm:t>
        <a:bodyPr/>
        <a:lstStyle/>
        <a:p>
          <a:endParaRPr lang="fr-FR"/>
        </a:p>
      </dgm:t>
    </dgm:pt>
    <dgm:pt modelId="{630D9749-7FB0-4022-AE87-4B3D003F7C4A}">
      <dgm:prSet phldrT="[Texte]" custT="1"/>
      <dgm:spPr>
        <a:xfrm rot="5400000">
          <a:off x="3608132" y="-1531521"/>
          <a:ext cx="426595" cy="3596640"/>
        </a:xfrm>
        <a:prstGeom prst="round2SameRect">
          <a:avLst/>
        </a:prstGeom>
        <a:solidFill>
          <a:srgbClr val="4BACC6">
            <a:tint val="40000"/>
            <a:alpha val="90000"/>
            <a:hueOff val="0"/>
            <a:satOff val="0"/>
            <a:lumOff val="0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0"/>
              <a:satOff val="0"/>
              <a:lumOff val="0"/>
              <a:alphaOff val="0"/>
            </a:srgbClr>
          </a:solidFill>
          <a:prstDash val="solid"/>
        </a:ln>
        <a:effectLst/>
      </dgm:spPr>
      <dgm:t>
        <a:bodyPr/>
        <a:lstStyle/>
        <a:p>
          <a:pPr algn="ctr">
            <a:buChar char="•"/>
          </a:pPr>
          <a:r>
            <a:rPr lang="fr-FR" sz="1200" b="1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Calibri" panose="020F0502020204030204"/>
              <a:ea typeface="+mn-ea"/>
              <a:cs typeface="+mn-cs"/>
            </a:rPr>
            <a:t>GEMAPLAST</a:t>
          </a:r>
        </a:p>
      </dgm:t>
    </dgm:pt>
    <dgm:pt modelId="{EDB2AED9-9A25-4988-8B7A-5FB4049E556D}" type="parTrans" cxnId="{883D0E07-4072-4D1C-92B0-C505FEC39531}">
      <dgm:prSet/>
      <dgm:spPr/>
      <dgm:t>
        <a:bodyPr/>
        <a:lstStyle/>
        <a:p>
          <a:endParaRPr lang="fr-FR"/>
        </a:p>
      </dgm:t>
    </dgm:pt>
    <dgm:pt modelId="{366994F3-038B-4604-B88E-D93B3A92A7C1}" type="sibTrans" cxnId="{883D0E07-4072-4D1C-92B0-C505FEC39531}">
      <dgm:prSet/>
      <dgm:spPr/>
      <dgm:t>
        <a:bodyPr/>
        <a:lstStyle/>
        <a:p>
          <a:endParaRPr lang="fr-FR"/>
        </a:p>
      </dgm:t>
    </dgm:pt>
    <dgm:pt modelId="{84476DEF-5FA9-48AD-913B-64D04BFA53EC}">
      <dgm:prSet phldrT="[Texte]"/>
      <dgm:spPr>
        <a:xfrm>
          <a:off x="0" y="560082"/>
          <a:ext cx="2023110" cy="533243"/>
        </a:xfrm>
        <a:prstGeom prst="roundRect">
          <a:avLst/>
        </a:prstGeom>
        <a:solidFill>
          <a:srgbClr val="4BACC6">
            <a:hueOff val="-1419125"/>
            <a:satOff val="5687"/>
            <a:lumOff val="1233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</a:ln>
        <a:effectLst/>
      </dgm:spPr>
      <dgm:t>
        <a:bodyPr/>
        <a:lstStyle/>
        <a:p>
          <a:pPr>
            <a:buNone/>
          </a:pPr>
          <a:r>
            <a:rPr lang="fr-FR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Forme Juridique</a:t>
          </a:r>
        </a:p>
      </dgm:t>
    </dgm:pt>
    <dgm:pt modelId="{E9BF3779-886B-4AEF-8F54-2A7FE2DC2E1F}" type="parTrans" cxnId="{488706F4-217D-4E09-B9B4-2AC128E1B033}">
      <dgm:prSet/>
      <dgm:spPr/>
      <dgm:t>
        <a:bodyPr/>
        <a:lstStyle/>
        <a:p>
          <a:endParaRPr lang="fr-FR"/>
        </a:p>
      </dgm:t>
    </dgm:pt>
    <dgm:pt modelId="{F586D9E5-40F3-4997-8FE0-725F7202A3FF}" type="sibTrans" cxnId="{488706F4-217D-4E09-B9B4-2AC128E1B033}">
      <dgm:prSet/>
      <dgm:spPr/>
      <dgm:t>
        <a:bodyPr/>
        <a:lstStyle/>
        <a:p>
          <a:endParaRPr lang="fr-FR"/>
        </a:p>
      </dgm:t>
    </dgm:pt>
    <dgm:pt modelId="{C2806193-068F-418A-A505-C7992B65505F}">
      <dgm:prSet phldrT="[Texte]" custT="1"/>
      <dgm:spPr>
        <a:xfrm rot="5400000">
          <a:off x="3608132" y="-971615"/>
          <a:ext cx="426595" cy="3596640"/>
        </a:xfrm>
        <a:prstGeom prst="round2SameRect">
          <a:avLst/>
        </a:prstGeom>
        <a:solidFill>
          <a:srgbClr val="4BACC6">
            <a:tint val="40000"/>
            <a:alpha val="90000"/>
            <a:hueOff val="-1534355"/>
            <a:satOff val="6893"/>
            <a:lumOff val="474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1534355"/>
              <a:satOff val="6893"/>
              <a:lumOff val="474"/>
              <a:alphaOff val="0"/>
            </a:srgbClr>
          </a:solidFill>
          <a:prstDash val="solid"/>
        </a:ln>
        <a:effectLst/>
      </dgm:spPr>
      <dgm:t>
        <a:bodyPr/>
        <a:lstStyle/>
        <a:p>
          <a:pPr algn="ctr">
            <a:buChar char="•"/>
          </a:pPr>
          <a:r>
            <a:rPr lang="fr-FR" sz="1200" b="1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Calibri" panose="020F0502020204030204"/>
              <a:ea typeface="+mn-ea"/>
              <a:cs typeface="+mn-cs"/>
            </a:rPr>
            <a:t>Société à Responsabilités Limités</a:t>
          </a:r>
        </a:p>
      </dgm:t>
    </dgm:pt>
    <dgm:pt modelId="{FEFE7B95-E0E2-4923-B422-348504F86A5F}" type="parTrans" cxnId="{3643626E-384A-4E08-98D8-F1A8554F95F7}">
      <dgm:prSet/>
      <dgm:spPr/>
      <dgm:t>
        <a:bodyPr/>
        <a:lstStyle/>
        <a:p>
          <a:endParaRPr lang="fr-FR"/>
        </a:p>
      </dgm:t>
    </dgm:pt>
    <dgm:pt modelId="{3AF9BE6C-75C0-4EED-A153-248D4A98B2E1}" type="sibTrans" cxnId="{3643626E-384A-4E08-98D8-F1A8554F95F7}">
      <dgm:prSet/>
      <dgm:spPr/>
      <dgm:t>
        <a:bodyPr/>
        <a:lstStyle/>
        <a:p>
          <a:endParaRPr lang="fr-FR"/>
        </a:p>
      </dgm:t>
    </dgm:pt>
    <dgm:pt modelId="{5F4F7895-EFD0-4CF4-9EF1-396D1C2620D9}">
      <dgm:prSet phldrT="[Texte]"/>
      <dgm:spPr>
        <a:xfrm>
          <a:off x="11725" y="1119988"/>
          <a:ext cx="2023110" cy="533243"/>
        </a:xfrm>
        <a:prstGeom prst="roundRect">
          <a:avLst/>
        </a:prstGeom>
        <a:solidFill>
          <a:srgbClr val="4BACC6">
            <a:hueOff val="-2838251"/>
            <a:satOff val="11375"/>
            <a:lumOff val="2465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</a:ln>
        <a:effectLst/>
      </dgm:spPr>
      <dgm:t>
        <a:bodyPr/>
        <a:lstStyle/>
        <a:p>
          <a:pPr>
            <a:buNone/>
          </a:pPr>
          <a:r>
            <a:rPr lang="fr-FR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Date de Création</a:t>
          </a:r>
        </a:p>
      </dgm:t>
    </dgm:pt>
    <dgm:pt modelId="{DD49B1E6-AA2A-49FC-B95C-C07F5E9895EF}" type="parTrans" cxnId="{98233A9D-FD78-4C35-B974-B82D502AE91D}">
      <dgm:prSet/>
      <dgm:spPr/>
      <dgm:t>
        <a:bodyPr/>
        <a:lstStyle/>
        <a:p>
          <a:endParaRPr lang="fr-FR"/>
        </a:p>
      </dgm:t>
    </dgm:pt>
    <dgm:pt modelId="{10B7F062-883C-47E4-B3C1-0E7871F39CD3}" type="sibTrans" cxnId="{98233A9D-FD78-4C35-B974-B82D502AE91D}">
      <dgm:prSet/>
      <dgm:spPr/>
      <dgm:t>
        <a:bodyPr/>
        <a:lstStyle/>
        <a:p>
          <a:endParaRPr lang="fr-FR"/>
        </a:p>
      </dgm:t>
    </dgm:pt>
    <dgm:pt modelId="{4FED8816-07BB-4634-A380-866167090B99}">
      <dgm:prSet phldrT="[Texte]" custT="1"/>
      <dgm:spPr>
        <a:xfrm rot="5400000">
          <a:off x="3608132" y="-411709"/>
          <a:ext cx="426595" cy="3596640"/>
        </a:xfrm>
        <a:prstGeom prst="round2SameRect">
          <a:avLst/>
        </a:prstGeom>
        <a:solidFill>
          <a:srgbClr val="4BACC6">
            <a:tint val="40000"/>
            <a:alpha val="90000"/>
            <a:hueOff val="-3068709"/>
            <a:satOff val="13787"/>
            <a:lumOff val="948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3068709"/>
              <a:satOff val="13787"/>
              <a:lumOff val="948"/>
              <a:alphaOff val="0"/>
            </a:srgbClr>
          </a:solidFill>
          <a:prstDash val="solid"/>
        </a:ln>
        <a:effectLst/>
      </dgm:spPr>
      <dgm:t>
        <a:bodyPr/>
        <a:lstStyle/>
        <a:p>
          <a:pPr algn="ctr">
            <a:buChar char="•"/>
          </a:pPr>
          <a:r>
            <a:rPr lang="fr-FR" sz="1200" b="1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Calibri" panose="020F0502020204030204"/>
              <a:ea typeface="+mn-ea"/>
              <a:cs typeface="+mn-cs"/>
            </a:rPr>
            <a:t>  2018</a:t>
          </a:r>
        </a:p>
      </dgm:t>
    </dgm:pt>
    <dgm:pt modelId="{CF877C1E-A3D7-4B38-A380-1A995F68B9BC}" type="parTrans" cxnId="{95A0620D-5E1A-4155-B0A4-FA6E1A8F2FD2}">
      <dgm:prSet/>
      <dgm:spPr/>
      <dgm:t>
        <a:bodyPr/>
        <a:lstStyle/>
        <a:p>
          <a:endParaRPr lang="fr-FR"/>
        </a:p>
      </dgm:t>
    </dgm:pt>
    <dgm:pt modelId="{7E9F8EDD-3592-40CB-98EE-2F2790690C4C}" type="sibTrans" cxnId="{95A0620D-5E1A-4155-B0A4-FA6E1A8F2FD2}">
      <dgm:prSet/>
      <dgm:spPr/>
      <dgm:t>
        <a:bodyPr/>
        <a:lstStyle/>
        <a:p>
          <a:endParaRPr lang="fr-FR"/>
        </a:p>
      </dgm:t>
    </dgm:pt>
    <dgm:pt modelId="{D5D7D1A7-A6BA-4AF1-818F-72AFAF75EBD3}">
      <dgm:prSet phldrT="[Texte]"/>
      <dgm:spPr>
        <a:xfrm>
          <a:off x="0" y="1679894"/>
          <a:ext cx="2023110" cy="533243"/>
        </a:xfrm>
        <a:prstGeom prst="roundRect">
          <a:avLst/>
        </a:prstGeom>
        <a:solidFill>
          <a:srgbClr val="4BACC6">
            <a:hueOff val="-4257376"/>
            <a:satOff val="17062"/>
            <a:lumOff val="3698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</a:ln>
        <a:effectLst/>
      </dgm:spPr>
      <dgm:t>
        <a:bodyPr/>
        <a:lstStyle/>
        <a:p>
          <a:pPr>
            <a:buNone/>
          </a:pPr>
          <a:r>
            <a:rPr lang="fr-FR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Directeur Général</a:t>
          </a:r>
        </a:p>
      </dgm:t>
    </dgm:pt>
    <dgm:pt modelId="{5CE334A4-001E-4E88-9C4F-5F5CF9302212}" type="parTrans" cxnId="{87B3A51D-53B5-4A2C-9484-CD23CCE0A1D7}">
      <dgm:prSet/>
      <dgm:spPr/>
      <dgm:t>
        <a:bodyPr/>
        <a:lstStyle/>
        <a:p>
          <a:endParaRPr lang="fr-FR"/>
        </a:p>
      </dgm:t>
    </dgm:pt>
    <dgm:pt modelId="{C3DC4419-817C-4C20-9728-D56AA554CB2E}" type="sibTrans" cxnId="{87B3A51D-53B5-4A2C-9484-CD23CCE0A1D7}">
      <dgm:prSet/>
      <dgm:spPr/>
      <dgm:t>
        <a:bodyPr/>
        <a:lstStyle/>
        <a:p>
          <a:endParaRPr lang="fr-FR"/>
        </a:p>
      </dgm:t>
    </dgm:pt>
    <dgm:pt modelId="{4B606CC7-5E31-4A6A-B8B0-846D6CCA3520}">
      <dgm:prSet/>
      <dgm:spPr>
        <a:xfrm>
          <a:off x="0" y="2239800"/>
          <a:ext cx="2023110" cy="533243"/>
        </a:xfrm>
        <a:prstGeom prst="roundRect">
          <a:avLst/>
        </a:prstGeom>
        <a:solidFill>
          <a:srgbClr val="4BACC6">
            <a:hueOff val="-5676501"/>
            <a:satOff val="22749"/>
            <a:lumOff val="4930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</a:ln>
        <a:effectLst/>
      </dgm:spPr>
      <dgm:t>
        <a:bodyPr/>
        <a:lstStyle/>
        <a:p>
          <a:pPr>
            <a:buNone/>
          </a:pPr>
          <a:r>
            <a:rPr lang="fr-FR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Activités Principale</a:t>
          </a:r>
        </a:p>
      </dgm:t>
    </dgm:pt>
    <dgm:pt modelId="{F768E64E-8A9D-4266-A7A7-F55BC09315E1}" type="parTrans" cxnId="{98339201-A9D3-45D9-AE53-EF70309F1AC0}">
      <dgm:prSet/>
      <dgm:spPr/>
      <dgm:t>
        <a:bodyPr/>
        <a:lstStyle/>
        <a:p>
          <a:endParaRPr lang="fr-FR"/>
        </a:p>
      </dgm:t>
    </dgm:pt>
    <dgm:pt modelId="{7E5094C1-AAFC-4FC3-B039-0D92519A4C2D}" type="sibTrans" cxnId="{98339201-A9D3-45D9-AE53-EF70309F1AC0}">
      <dgm:prSet/>
      <dgm:spPr/>
      <dgm:t>
        <a:bodyPr/>
        <a:lstStyle/>
        <a:p>
          <a:endParaRPr lang="fr-FR"/>
        </a:p>
      </dgm:t>
    </dgm:pt>
    <dgm:pt modelId="{7C6AC49B-EA7F-4A2B-A4AE-48D5DED4922B}">
      <dgm:prSet custT="1"/>
      <dgm:spPr>
        <a:xfrm rot="5400000">
          <a:off x="3608132" y="148196"/>
          <a:ext cx="426595" cy="3596640"/>
        </a:xfrm>
        <a:prstGeom prst="round2SameRect">
          <a:avLst/>
        </a:prstGeom>
        <a:solidFill>
          <a:srgbClr val="4BACC6">
            <a:tint val="40000"/>
            <a:alpha val="90000"/>
            <a:hueOff val="-4603064"/>
            <a:satOff val="20680"/>
            <a:lumOff val="1422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4603064"/>
              <a:satOff val="20680"/>
              <a:lumOff val="1422"/>
              <a:alphaOff val="0"/>
            </a:srgbClr>
          </a:solidFill>
          <a:prstDash val="solid"/>
        </a:ln>
        <a:effectLst/>
      </dgm:spPr>
      <dgm:t>
        <a:bodyPr/>
        <a:lstStyle/>
        <a:p>
          <a:pPr algn="ctr">
            <a:buChar char="•"/>
          </a:pPr>
          <a:r>
            <a:rPr lang="fr-FR" sz="1200" b="1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Calibri" panose="020F0502020204030204"/>
              <a:ea typeface="+mn-ea"/>
              <a:cs typeface="+mn-cs"/>
            </a:rPr>
            <a:t>Mr.LHOUSSAINE AZIZAOU</a:t>
          </a:r>
        </a:p>
      </dgm:t>
    </dgm:pt>
    <dgm:pt modelId="{8F224DF2-9555-4629-86F7-351CF390ABD7}" type="parTrans" cxnId="{EF8CFF8E-1AED-409A-A5F1-EFDB39B1B304}">
      <dgm:prSet/>
      <dgm:spPr/>
      <dgm:t>
        <a:bodyPr/>
        <a:lstStyle/>
        <a:p>
          <a:endParaRPr lang="fr-FR"/>
        </a:p>
      </dgm:t>
    </dgm:pt>
    <dgm:pt modelId="{023976E8-D043-4522-A7DE-0D5012E0CDE5}" type="sibTrans" cxnId="{EF8CFF8E-1AED-409A-A5F1-EFDB39B1B304}">
      <dgm:prSet/>
      <dgm:spPr/>
      <dgm:t>
        <a:bodyPr/>
        <a:lstStyle/>
        <a:p>
          <a:endParaRPr lang="fr-FR"/>
        </a:p>
      </dgm:t>
    </dgm:pt>
    <dgm:pt modelId="{CBA0F224-461D-4D54-BA93-97A7136A0283}">
      <dgm:prSet/>
      <dgm:spPr>
        <a:xfrm>
          <a:off x="0" y="2799706"/>
          <a:ext cx="2023110" cy="533243"/>
        </a:xfrm>
        <a:prstGeom prst="roundRect">
          <a:avLst/>
        </a:prstGeom>
        <a:solidFill>
          <a:srgbClr val="4BACC6">
            <a:hueOff val="-7095626"/>
            <a:satOff val="28436"/>
            <a:lumOff val="6163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</a:ln>
        <a:effectLst/>
      </dgm:spPr>
      <dgm:t>
        <a:bodyPr/>
        <a:lstStyle/>
        <a:p>
          <a:pPr>
            <a:buNone/>
          </a:pPr>
          <a:r>
            <a:rPr lang="fr-FR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Siège Social</a:t>
          </a:r>
        </a:p>
      </dgm:t>
    </dgm:pt>
    <dgm:pt modelId="{4A5250CC-D783-4799-AE2A-02BC7BDF7923}" type="parTrans" cxnId="{94EA15C2-095A-4106-95A9-776100720E24}">
      <dgm:prSet/>
      <dgm:spPr/>
      <dgm:t>
        <a:bodyPr/>
        <a:lstStyle/>
        <a:p>
          <a:endParaRPr lang="fr-FR"/>
        </a:p>
      </dgm:t>
    </dgm:pt>
    <dgm:pt modelId="{23C0595F-9633-4826-A9EF-677DF317AC32}" type="sibTrans" cxnId="{94EA15C2-095A-4106-95A9-776100720E24}">
      <dgm:prSet/>
      <dgm:spPr/>
      <dgm:t>
        <a:bodyPr/>
        <a:lstStyle/>
        <a:p>
          <a:endParaRPr lang="fr-FR"/>
        </a:p>
      </dgm:t>
    </dgm:pt>
    <dgm:pt modelId="{59B56A89-5A62-4D6F-979F-DD8D73086ED3}">
      <dgm:prSet custT="1"/>
      <dgm:spPr>
        <a:xfrm rot="5400000">
          <a:off x="3608132" y="708102"/>
          <a:ext cx="426595" cy="3596640"/>
        </a:xfrm>
        <a:prstGeom prst="round2SameRect">
          <a:avLst/>
        </a:prstGeom>
        <a:solidFill>
          <a:srgbClr val="4BACC6">
            <a:tint val="40000"/>
            <a:alpha val="90000"/>
            <a:hueOff val="-6137418"/>
            <a:satOff val="27573"/>
            <a:lumOff val="1895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6137418"/>
              <a:satOff val="27573"/>
              <a:lumOff val="1895"/>
              <a:alphaOff val="0"/>
            </a:srgbClr>
          </a:solidFill>
          <a:prstDash val="solid"/>
        </a:ln>
        <a:effectLst/>
      </dgm:spPr>
      <dgm:t>
        <a:bodyPr/>
        <a:lstStyle/>
        <a:p>
          <a:pPr>
            <a:buChar char="•"/>
          </a:pPr>
          <a:r>
            <a:rPr lang="fr-FR" sz="1200" b="1" i="0"/>
            <a:t>la production des conduites en polyvinyle de chlorure (PVC-U) et polyéthylène haute densité (PEHD).</a:t>
          </a:r>
        </a:p>
      </dgm:t>
    </dgm:pt>
    <dgm:pt modelId="{0B39D2FE-2173-427B-AE83-72078BBE9CEE}" type="parTrans" cxnId="{A10C8248-2CC7-46D1-AA63-D3592773B4B3}">
      <dgm:prSet/>
      <dgm:spPr/>
      <dgm:t>
        <a:bodyPr/>
        <a:lstStyle/>
        <a:p>
          <a:endParaRPr lang="fr-FR"/>
        </a:p>
      </dgm:t>
    </dgm:pt>
    <dgm:pt modelId="{D2C9847D-4669-441D-A920-F211E3129C9F}" type="sibTrans" cxnId="{A10C8248-2CC7-46D1-AA63-D3592773B4B3}">
      <dgm:prSet/>
      <dgm:spPr/>
      <dgm:t>
        <a:bodyPr/>
        <a:lstStyle/>
        <a:p>
          <a:endParaRPr lang="fr-FR"/>
        </a:p>
      </dgm:t>
    </dgm:pt>
    <dgm:pt modelId="{4CD64D4E-394A-4A41-AC50-DF73FBA2BFED}">
      <dgm:prSet/>
      <dgm:spPr>
        <a:xfrm>
          <a:off x="0" y="3359612"/>
          <a:ext cx="2023110" cy="533243"/>
        </a:xfrm>
        <a:prstGeom prst="roundRect">
          <a:avLst/>
        </a:prstGeom>
        <a:solidFill>
          <a:srgbClr val="4BACC6">
            <a:hueOff val="-8514751"/>
            <a:satOff val="34124"/>
            <a:lumOff val="7395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</a:ln>
        <a:effectLst/>
      </dgm:spPr>
      <dgm:t>
        <a:bodyPr/>
        <a:lstStyle/>
        <a:p>
          <a:pPr>
            <a:buNone/>
          </a:pPr>
          <a:r>
            <a:rPr lang="fr-FR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Site Web</a:t>
          </a:r>
        </a:p>
      </dgm:t>
    </dgm:pt>
    <dgm:pt modelId="{D5CC075E-4CEC-48A9-850D-23E07F1B5AB2}" type="parTrans" cxnId="{5A326FD0-FD6D-419D-9D5E-5ECABC40B45E}">
      <dgm:prSet/>
      <dgm:spPr/>
      <dgm:t>
        <a:bodyPr/>
        <a:lstStyle/>
        <a:p>
          <a:endParaRPr lang="fr-FR"/>
        </a:p>
      </dgm:t>
    </dgm:pt>
    <dgm:pt modelId="{F12B6500-4A46-4040-A949-9EAF37A2B4AB}" type="sibTrans" cxnId="{5A326FD0-FD6D-419D-9D5E-5ECABC40B45E}">
      <dgm:prSet/>
      <dgm:spPr/>
      <dgm:t>
        <a:bodyPr/>
        <a:lstStyle/>
        <a:p>
          <a:endParaRPr lang="fr-FR"/>
        </a:p>
      </dgm:t>
    </dgm:pt>
    <dgm:pt modelId="{269D91C1-F1DB-487D-85A3-0BDE9185FF0E}">
      <dgm:prSet custT="1"/>
      <dgm:spPr>
        <a:xfrm rot="5400000">
          <a:off x="3608132" y="1277534"/>
          <a:ext cx="426595" cy="3596640"/>
        </a:xfrm>
        <a:prstGeom prst="round2SameRect">
          <a:avLst/>
        </a:prstGeom>
        <a:solidFill>
          <a:srgbClr val="4BACC6">
            <a:tint val="40000"/>
            <a:alpha val="90000"/>
            <a:hueOff val="-7671773"/>
            <a:satOff val="34466"/>
            <a:lumOff val="2369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7671773"/>
              <a:satOff val="34466"/>
              <a:lumOff val="2369"/>
              <a:alphaOff val="0"/>
            </a:srgbClr>
          </a:solidFill>
          <a:prstDash val="solid"/>
        </a:ln>
        <a:effectLst/>
      </dgm:spPr>
      <dgm:t>
        <a:bodyPr/>
        <a:lstStyle/>
        <a:p>
          <a:pPr>
            <a:buChar char="•"/>
          </a:pPr>
          <a:endParaRPr lang="fr-FR" sz="1200" b="1">
            <a:solidFill>
              <a:sysClr val="windowText" lastClr="000000">
                <a:hueOff val="0"/>
                <a:satOff val="0"/>
                <a:lumOff val="0"/>
                <a:alphaOff val="0"/>
              </a:sysClr>
            </a:solidFill>
            <a:latin typeface="Calibri" panose="020F0502020204030204"/>
            <a:ea typeface="+mn-ea"/>
            <a:cs typeface="+mn-cs"/>
          </a:endParaRPr>
        </a:p>
      </dgm:t>
    </dgm:pt>
    <dgm:pt modelId="{88E9EF60-AF7E-4614-ACA7-78142AD75314}" type="parTrans" cxnId="{C2C39588-21DD-470F-966A-A41B4165B0C0}">
      <dgm:prSet/>
      <dgm:spPr/>
      <dgm:t>
        <a:bodyPr/>
        <a:lstStyle/>
        <a:p>
          <a:endParaRPr lang="fr-FR"/>
        </a:p>
      </dgm:t>
    </dgm:pt>
    <dgm:pt modelId="{5728177B-D4E8-41BC-B982-1A6C6198F590}" type="sibTrans" cxnId="{C2C39588-21DD-470F-966A-A41B4165B0C0}">
      <dgm:prSet/>
      <dgm:spPr/>
      <dgm:t>
        <a:bodyPr/>
        <a:lstStyle/>
        <a:p>
          <a:endParaRPr lang="fr-FR"/>
        </a:p>
      </dgm:t>
    </dgm:pt>
    <dgm:pt modelId="{F343914A-C045-4954-B382-1B17EC8EA662}">
      <dgm:prSet/>
      <dgm:spPr>
        <a:xfrm>
          <a:off x="0" y="3919518"/>
          <a:ext cx="2023110" cy="533243"/>
        </a:xfrm>
        <a:prstGeom prst="roundRect">
          <a:avLst/>
        </a:prstGeom>
        <a:solidFill>
          <a:srgbClr val="4BACC6">
            <a:hueOff val="-9933876"/>
            <a:satOff val="39811"/>
            <a:lumOff val="8628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</a:ln>
        <a:effectLst/>
      </dgm:spPr>
      <dgm:t>
        <a:bodyPr/>
        <a:lstStyle/>
        <a:p>
          <a:pPr>
            <a:buNone/>
          </a:pPr>
          <a:r>
            <a:rPr lang="fr-FR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Sites de Production</a:t>
          </a:r>
        </a:p>
      </dgm:t>
    </dgm:pt>
    <dgm:pt modelId="{667F3AA7-D27D-4DAF-A67C-E85032A9340E}" type="parTrans" cxnId="{10CF0CAE-2AAD-4609-9EF6-4BF1217BEB69}">
      <dgm:prSet/>
      <dgm:spPr/>
      <dgm:t>
        <a:bodyPr/>
        <a:lstStyle/>
        <a:p>
          <a:endParaRPr lang="fr-FR"/>
        </a:p>
      </dgm:t>
    </dgm:pt>
    <dgm:pt modelId="{A0EB3BAD-7A79-44D3-B5B4-572935DA428F}" type="sibTrans" cxnId="{10CF0CAE-2AAD-4609-9EF6-4BF1217BEB69}">
      <dgm:prSet/>
      <dgm:spPr/>
      <dgm:t>
        <a:bodyPr/>
        <a:lstStyle/>
        <a:p>
          <a:endParaRPr lang="fr-FR"/>
        </a:p>
      </dgm:t>
    </dgm:pt>
    <dgm:pt modelId="{DA0BC046-9F56-463F-9DEA-3CCAA601C74E}">
      <dgm:prSet custT="1"/>
      <dgm:spPr>
        <a:xfrm rot="5400000">
          <a:off x="3608132" y="1827914"/>
          <a:ext cx="426595" cy="3596640"/>
        </a:xfrm>
        <a:prstGeom prst="round2SameRect">
          <a:avLst/>
        </a:prstGeom>
        <a:solidFill>
          <a:srgbClr val="4BACC6">
            <a:tint val="40000"/>
            <a:alpha val="90000"/>
            <a:hueOff val="-9206127"/>
            <a:satOff val="41360"/>
            <a:lumOff val="2843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9206127"/>
              <a:satOff val="41360"/>
              <a:lumOff val="2843"/>
              <a:alphaOff val="0"/>
            </a:srgbClr>
          </a:solidFill>
          <a:prstDash val="solid"/>
        </a:ln>
        <a:effectLst/>
      </dgm:spPr>
      <dgm:t>
        <a:bodyPr/>
        <a:lstStyle/>
        <a:p>
          <a:pPr algn="ctr">
            <a:buChar char="•"/>
          </a:pPr>
          <a:r>
            <a:rPr lang="fr-FR" sz="1800" b="1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Calibri" panose="020F0502020204030204"/>
              <a:ea typeface="+mn-ea"/>
              <a:cs typeface="+mn-cs"/>
            </a:rPr>
            <a:t>WWW.GEMAPLAST.MA</a:t>
          </a:r>
        </a:p>
      </dgm:t>
    </dgm:pt>
    <dgm:pt modelId="{A14FCE39-E9F1-4575-8B9E-C5DEAF1E188A}" type="parTrans" cxnId="{0BE7D27A-7C49-45FC-ADB8-85C55DB4E4B6}">
      <dgm:prSet/>
      <dgm:spPr/>
      <dgm:t>
        <a:bodyPr/>
        <a:lstStyle/>
        <a:p>
          <a:endParaRPr lang="fr-FR"/>
        </a:p>
      </dgm:t>
    </dgm:pt>
    <dgm:pt modelId="{AE6296FF-AA0A-4E84-9816-D3565312CBE5}" type="sibTrans" cxnId="{0BE7D27A-7C49-45FC-ADB8-85C55DB4E4B6}">
      <dgm:prSet/>
      <dgm:spPr/>
      <dgm:t>
        <a:bodyPr/>
        <a:lstStyle/>
        <a:p>
          <a:endParaRPr lang="fr-FR"/>
        </a:p>
      </dgm:t>
    </dgm:pt>
    <dgm:pt modelId="{CECE1FFE-170F-463A-878B-DF2FA790E185}">
      <dgm:prSet custT="1"/>
      <dgm:spPr>
        <a:xfrm rot="5400000">
          <a:off x="3608132" y="2387820"/>
          <a:ext cx="426595" cy="3596640"/>
        </a:xfrm>
        <a:prstGeom prst="round2SameRect">
          <a:avLst/>
        </a:prstGeom>
        <a:solidFill>
          <a:srgbClr val="4BACC6">
            <a:tint val="40000"/>
            <a:alpha val="90000"/>
            <a:hueOff val="-10740482"/>
            <a:satOff val="48253"/>
            <a:lumOff val="3317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10740482"/>
              <a:satOff val="48253"/>
              <a:lumOff val="3317"/>
              <a:alphaOff val="0"/>
            </a:srgbClr>
          </a:solidFill>
          <a:prstDash val="solid"/>
        </a:ln>
        <a:effectLst/>
      </dgm:spPr>
      <dgm:t>
        <a:bodyPr/>
        <a:lstStyle/>
        <a:p>
          <a:pPr algn="ctr">
            <a:buChar char="•"/>
          </a:pPr>
          <a:r>
            <a:rPr lang="fr-FR" sz="1200" b="1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Calibri" panose="020F0502020204030204"/>
              <a:ea typeface="+mn-ea"/>
              <a:cs typeface="+mn-cs"/>
            </a:rPr>
            <a:t>Marrakech, </a:t>
          </a:r>
          <a:endParaRPr lang="fr-FR" sz="2200" b="1">
            <a:solidFill>
              <a:sysClr val="windowText" lastClr="000000">
                <a:hueOff val="0"/>
                <a:satOff val="0"/>
                <a:lumOff val="0"/>
                <a:alphaOff val="0"/>
              </a:sysClr>
            </a:solidFill>
            <a:latin typeface="Calibri" panose="020F0502020204030204"/>
            <a:ea typeface="+mn-ea"/>
            <a:cs typeface="+mn-cs"/>
          </a:endParaRPr>
        </a:p>
      </dgm:t>
    </dgm:pt>
    <dgm:pt modelId="{AD80A263-7336-4F56-A263-8F9D1B6F56DA}" type="parTrans" cxnId="{4CC5B6EB-4069-4EC7-82EB-5EE01ED36763}">
      <dgm:prSet/>
      <dgm:spPr/>
      <dgm:t>
        <a:bodyPr/>
        <a:lstStyle/>
        <a:p>
          <a:endParaRPr lang="fr-FR"/>
        </a:p>
      </dgm:t>
    </dgm:pt>
    <dgm:pt modelId="{06CB79AC-A5BF-4BA2-8B74-27A8A0009626}" type="sibTrans" cxnId="{4CC5B6EB-4069-4EC7-82EB-5EE01ED36763}">
      <dgm:prSet/>
      <dgm:spPr/>
      <dgm:t>
        <a:bodyPr/>
        <a:lstStyle/>
        <a:p>
          <a:endParaRPr lang="fr-FR"/>
        </a:p>
      </dgm:t>
    </dgm:pt>
    <dgm:pt modelId="{164E00D0-7877-47FB-9514-490B14098FD5}">
      <dgm:prSet custT="1"/>
      <dgm:spPr/>
      <dgm:t>
        <a:bodyPr/>
        <a:lstStyle/>
        <a:p>
          <a:r>
            <a:rPr lang="fr-FR" sz="1200" b="0" i="0"/>
            <a:t>N°33, Résidence Kawter, Av. Allal El Fassi</a:t>
          </a:r>
          <a:r>
            <a:rPr lang="fr-FR" sz="1200"/>
            <a:t/>
          </a:r>
          <a:br>
            <a:rPr lang="fr-FR" sz="1200"/>
          </a:br>
          <a:r>
            <a:rPr lang="fr-FR" sz="1200" b="0" i="0"/>
            <a:t>Marrakech</a:t>
          </a:r>
          <a:r>
            <a:rPr lang="fr-FR" sz="1200" b="1" i="0"/>
            <a:t/>
          </a:r>
          <a:br>
            <a:rPr lang="fr-FR" sz="1200" b="1" i="0"/>
          </a:br>
          <a:r>
            <a:rPr lang="fr-FR" sz="1200" b="1"/>
            <a:t/>
          </a:r>
          <a:br>
            <a:rPr lang="fr-FR" sz="1200" b="1"/>
          </a:br>
          <a:endParaRPr lang="fr-FR" sz="1200" b="1"/>
        </a:p>
      </dgm:t>
    </dgm:pt>
    <dgm:pt modelId="{7810930D-2432-4B38-9CC2-291842177BCE}" type="parTrans" cxnId="{8CF46F1A-CB7A-44AC-8A7E-3C680B909373}">
      <dgm:prSet/>
      <dgm:spPr/>
      <dgm:t>
        <a:bodyPr/>
        <a:lstStyle/>
        <a:p>
          <a:endParaRPr lang="fr-FR"/>
        </a:p>
      </dgm:t>
    </dgm:pt>
    <dgm:pt modelId="{C137A666-8544-4202-BA4D-8EF9DCBEBC0A}" type="sibTrans" cxnId="{8CF46F1A-CB7A-44AC-8A7E-3C680B909373}">
      <dgm:prSet/>
      <dgm:spPr/>
      <dgm:t>
        <a:bodyPr/>
        <a:lstStyle/>
        <a:p>
          <a:endParaRPr lang="fr-FR"/>
        </a:p>
      </dgm:t>
    </dgm:pt>
    <dgm:pt modelId="{6D1ECB20-EE98-4558-9FF7-87B4DB9A83E7}">
      <dgm:prSet phldrT="[Texte]" custT="1"/>
      <dgm:spPr>
        <a:xfrm rot="5400000">
          <a:off x="3608132" y="-411709"/>
          <a:ext cx="426595" cy="3596640"/>
        </a:xfrm>
        <a:solidFill>
          <a:srgbClr val="4BACC6">
            <a:tint val="40000"/>
            <a:alpha val="90000"/>
            <a:hueOff val="-3068709"/>
            <a:satOff val="13787"/>
            <a:lumOff val="948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3068709"/>
              <a:satOff val="13787"/>
              <a:lumOff val="948"/>
              <a:alphaOff val="0"/>
            </a:srgbClr>
          </a:solidFill>
          <a:prstDash val="solid"/>
        </a:ln>
        <a:effectLst/>
      </dgm:spPr>
      <dgm:t>
        <a:bodyPr/>
        <a:lstStyle/>
        <a:p>
          <a:pPr algn="ctr">
            <a:buNone/>
          </a:pPr>
          <a:endParaRPr lang="fr-FR" sz="1200" b="1">
            <a:solidFill>
              <a:sysClr val="windowText" lastClr="000000">
                <a:hueOff val="0"/>
                <a:satOff val="0"/>
                <a:lumOff val="0"/>
                <a:alphaOff val="0"/>
              </a:sysClr>
            </a:solidFill>
            <a:latin typeface="Calibri" panose="020F0502020204030204"/>
            <a:ea typeface="+mn-ea"/>
            <a:cs typeface="+mn-cs"/>
          </a:endParaRPr>
        </a:p>
      </dgm:t>
    </dgm:pt>
    <dgm:pt modelId="{E462654D-E76F-41C9-A89D-C80D339FC426}" type="parTrans" cxnId="{5EBA8505-8C5E-4D82-9E86-384EC1916CD7}">
      <dgm:prSet/>
      <dgm:spPr/>
      <dgm:t>
        <a:bodyPr/>
        <a:lstStyle/>
        <a:p>
          <a:endParaRPr lang="fr-FR"/>
        </a:p>
      </dgm:t>
    </dgm:pt>
    <dgm:pt modelId="{DFC8BAD4-270E-4968-9C61-31B1AA450E5F}" type="sibTrans" cxnId="{5EBA8505-8C5E-4D82-9E86-384EC1916CD7}">
      <dgm:prSet/>
      <dgm:spPr/>
      <dgm:t>
        <a:bodyPr/>
        <a:lstStyle/>
        <a:p>
          <a:endParaRPr lang="fr-FR"/>
        </a:p>
      </dgm:t>
    </dgm:pt>
    <dgm:pt modelId="{18670185-8D47-468D-BE90-1DB79DDC3A75}" type="pres">
      <dgm:prSet presAssocID="{25B88E51-490C-48F0-AD57-6BAB1EBA6B89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fr-FR"/>
        </a:p>
      </dgm:t>
    </dgm:pt>
    <dgm:pt modelId="{53F64DA0-4A88-47A7-9524-08CDFA5AE516}" type="pres">
      <dgm:prSet presAssocID="{2C427F15-863A-4D79-ADE7-F0804CAC756B}" presName="linNode" presStyleCnt="0"/>
      <dgm:spPr/>
    </dgm:pt>
    <dgm:pt modelId="{3A603366-77C0-47CF-B706-7E3C8DFD9564}" type="pres">
      <dgm:prSet presAssocID="{2C427F15-863A-4D79-ADE7-F0804CAC756B}" presName="parentText" presStyleLbl="node1" presStyleIdx="0" presStyleCnt="8" custLinFactNeighborX="4807" custLinFactNeighborY="7950">
        <dgm:presLayoutVars>
          <dgm:chMax val="1"/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EC03BE9F-E89F-4883-882F-74B75E2A0019}" type="pres">
      <dgm:prSet presAssocID="{2C427F15-863A-4D79-ADE7-F0804CAC756B}" presName="descendantText" presStyleLbl="alignAccFollowNode1" presStyleIdx="0" presStyleCnt="8" custLinFactNeighborX="5259" custLinFactNeighborY="2734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EDE111D0-6127-471F-B044-D534065B8370}" type="pres">
      <dgm:prSet presAssocID="{FD6286FA-F990-48A0-90B4-387DDC894C9A}" presName="sp" presStyleCnt="0"/>
      <dgm:spPr/>
    </dgm:pt>
    <dgm:pt modelId="{7DF1D439-82B1-495C-9F3A-CD0CC0A0AA70}" type="pres">
      <dgm:prSet presAssocID="{84476DEF-5FA9-48AD-913B-64D04BFA53EC}" presName="linNode" presStyleCnt="0"/>
      <dgm:spPr/>
    </dgm:pt>
    <dgm:pt modelId="{489413B4-84AC-401B-89E3-2853BDEC46FA}" type="pres">
      <dgm:prSet presAssocID="{84476DEF-5FA9-48AD-913B-64D04BFA53EC}" presName="parentText" presStyleLbl="node1" presStyleIdx="1" presStyleCnt="8" custLinFactNeighborX="2958" custLinFactNeighborY="2187">
        <dgm:presLayoutVars>
          <dgm:chMax val="1"/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AE86AEFD-6D23-4F4E-B4CD-52416064A43D}" type="pres">
      <dgm:prSet presAssocID="{84476DEF-5FA9-48AD-913B-64D04BFA53EC}" presName="descendantText" presStyleLbl="alignAccFollowNode1" presStyleIdx="1" presStyleCnt="8" custLinFactNeighborX="1578" custLinFactNeighborY="3827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FDA67931-1A3B-4643-8C6A-D0B524E78228}" type="pres">
      <dgm:prSet presAssocID="{F586D9E5-40F3-4997-8FE0-725F7202A3FF}" presName="sp" presStyleCnt="0"/>
      <dgm:spPr/>
    </dgm:pt>
    <dgm:pt modelId="{0AE6CF50-04D0-4A27-BDE1-94B8E393B99A}" type="pres">
      <dgm:prSet presAssocID="{5F4F7895-EFD0-4CF4-9EF1-396D1C2620D9}" presName="linNode" presStyleCnt="0"/>
      <dgm:spPr/>
    </dgm:pt>
    <dgm:pt modelId="{FE84ACE0-18EE-4FB6-B80B-50171D3A591A}" type="pres">
      <dgm:prSet presAssocID="{5F4F7895-EFD0-4CF4-9EF1-396D1C2620D9}" presName="parentText" presStyleLbl="node1" presStyleIdx="2" presStyleCnt="8" custLinFactNeighborX="3284" custLinFactNeighborY="2187">
        <dgm:presLayoutVars>
          <dgm:chMax val="1"/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68CB0B32-7508-4231-923A-FAF5FCACFEB6}" type="pres">
      <dgm:prSet presAssocID="{5F4F7895-EFD0-4CF4-9EF1-396D1C2620D9}" presName="descendantText" presStyleLbl="alignAccFollowNode1" presStyleIdx="2" presStyleCnt="8" custLinFactNeighborX="5259" custLinFactNeighborY="2734">
        <dgm:presLayoutVars>
          <dgm:bulletEnabled val="1"/>
        </dgm:presLayoutVars>
      </dgm:prSet>
      <dgm:spPr>
        <a:prstGeom prst="round2SameRect">
          <a:avLst/>
        </a:prstGeom>
      </dgm:spPr>
      <dgm:t>
        <a:bodyPr/>
        <a:lstStyle/>
        <a:p>
          <a:endParaRPr lang="fr-FR"/>
        </a:p>
      </dgm:t>
    </dgm:pt>
    <dgm:pt modelId="{0BAC8434-00BC-4211-8F72-FD3F8597EDCA}" type="pres">
      <dgm:prSet presAssocID="{10B7F062-883C-47E4-B3C1-0E7871F39CD3}" presName="sp" presStyleCnt="0"/>
      <dgm:spPr/>
    </dgm:pt>
    <dgm:pt modelId="{78B0708A-9C8C-420B-ABB0-C2A0DAA72E9F}" type="pres">
      <dgm:prSet presAssocID="{D5D7D1A7-A6BA-4AF1-818F-72AFAF75EBD3}" presName="linNode" presStyleCnt="0"/>
      <dgm:spPr/>
    </dgm:pt>
    <dgm:pt modelId="{2C0145A8-7C1C-47C7-8E71-6212B7CDBC35}" type="pres">
      <dgm:prSet presAssocID="{D5D7D1A7-A6BA-4AF1-818F-72AFAF75EBD3}" presName="parentText" presStyleLbl="node1" presStyleIdx="3" presStyleCnt="8" custLinFactNeighborX="2958" custLinFactNeighborY="2187">
        <dgm:presLayoutVars>
          <dgm:chMax val="1"/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3AD7B392-399E-443E-95BA-CD08F44F499C}" type="pres">
      <dgm:prSet presAssocID="{D5D7D1A7-A6BA-4AF1-818F-72AFAF75EBD3}" presName="descendantText" presStyleLbl="alignAccFollowNode1" presStyleIdx="3" presStyleCnt="8" custLinFactNeighborX="5259" custLinFactNeighborY="2734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57F6B550-9573-45B5-B457-0D68DC828A00}" type="pres">
      <dgm:prSet presAssocID="{C3DC4419-817C-4C20-9728-D56AA554CB2E}" presName="sp" presStyleCnt="0"/>
      <dgm:spPr/>
    </dgm:pt>
    <dgm:pt modelId="{DBBB923F-256E-4323-9EC4-39C472099C69}" type="pres">
      <dgm:prSet presAssocID="{4B606CC7-5E31-4A6A-B8B0-846D6CCA3520}" presName="linNode" presStyleCnt="0"/>
      <dgm:spPr/>
    </dgm:pt>
    <dgm:pt modelId="{AE22FCC5-C18F-4B1D-87AA-F7BBD48475E8}" type="pres">
      <dgm:prSet presAssocID="{4B606CC7-5E31-4A6A-B8B0-846D6CCA3520}" presName="parentText" presStyleLbl="node1" presStyleIdx="4" presStyleCnt="8" custLinFactNeighborX="2958" custLinFactNeighborY="2187">
        <dgm:presLayoutVars>
          <dgm:chMax val="1"/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43FFDA6B-2FDC-49E5-8A19-7D3D3EE01CDB}" type="pres">
      <dgm:prSet presAssocID="{4B606CC7-5E31-4A6A-B8B0-846D6CCA3520}" presName="descendantText" presStyleLbl="alignAccFollowNode1" presStyleIdx="4" presStyleCnt="8" custLinFactNeighborX="5259" custLinFactNeighborY="2734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9EDEC4E4-78DA-4008-8CBC-26B77741DFF3}" type="pres">
      <dgm:prSet presAssocID="{7E5094C1-AAFC-4FC3-B039-0D92519A4C2D}" presName="sp" presStyleCnt="0"/>
      <dgm:spPr/>
    </dgm:pt>
    <dgm:pt modelId="{F65C884D-F386-43DB-A497-3C8ED90A5D8E}" type="pres">
      <dgm:prSet presAssocID="{CBA0F224-461D-4D54-BA93-97A7136A0283}" presName="linNode" presStyleCnt="0"/>
      <dgm:spPr/>
    </dgm:pt>
    <dgm:pt modelId="{688C8F88-D202-460E-BD4C-1B464A99E3E2}" type="pres">
      <dgm:prSet presAssocID="{CBA0F224-461D-4D54-BA93-97A7136A0283}" presName="parentText" presStyleLbl="node1" presStyleIdx="5" presStyleCnt="8" custLinFactNeighborX="2958" custLinFactNeighborY="2187">
        <dgm:presLayoutVars>
          <dgm:chMax val="1"/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6234E6FD-0F6D-433F-9370-74CAAC65BE87}" type="pres">
      <dgm:prSet presAssocID="{CBA0F224-461D-4D54-BA93-97A7136A0283}" presName="descendantText" presStyleLbl="alignAccFollowNode1" presStyleIdx="5" presStyleCnt="8" custLinFactNeighborX="5259" custLinFactNeighborY="4967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5F089ABE-F701-44CC-94D2-7FFEB09864E8}" type="pres">
      <dgm:prSet presAssocID="{23C0595F-9633-4826-A9EF-677DF317AC32}" presName="sp" presStyleCnt="0"/>
      <dgm:spPr/>
    </dgm:pt>
    <dgm:pt modelId="{34C5DF67-6C13-4EF2-A186-2DFC10412921}" type="pres">
      <dgm:prSet presAssocID="{4CD64D4E-394A-4A41-AC50-DF73FBA2BFED}" presName="linNode" presStyleCnt="0"/>
      <dgm:spPr/>
    </dgm:pt>
    <dgm:pt modelId="{5ACC5B0E-F007-4234-A84E-553231A786C0}" type="pres">
      <dgm:prSet presAssocID="{4CD64D4E-394A-4A41-AC50-DF73FBA2BFED}" presName="parentText" presStyleLbl="node1" presStyleIdx="6" presStyleCnt="8" custLinFactNeighborX="2958" custLinFactNeighborY="2187">
        <dgm:presLayoutVars>
          <dgm:chMax val="1"/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14A24788-9A24-4B52-A918-13F1E1C44D2C}" type="pres">
      <dgm:prSet presAssocID="{4CD64D4E-394A-4A41-AC50-DF73FBA2BFED}" presName="descendantText" presStyleLbl="alignAccFollowNode1" presStyleIdx="6" presStyleCnt="8" custLinFactNeighborX="5259" custLinFactNeighborY="2734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DE877567-5C43-4E5F-BD19-235213F19B0B}" type="pres">
      <dgm:prSet presAssocID="{F12B6500-4A46-4040-A949-9EAF37A2B4AB}" presName="sp" presStyleCnt="0"/>
      <dgm:spPr/>
    </dgm:pt>
    <dgm:pt modelId="{67E15CC1-49BB-4AF5-A3F8-315C94FDB881}" type="pres">
      <dgm:prSet presAssocID="{F343914A-C045-4954-B382-1B17EC8EA662}" presName="linNode" presStyleCnt="0"/>
      <dgm:spPr/>
    </dgm:pt>
    <dgm:pt modelId="{FFB5AD20-6155-42CD-B41B-C4A6B597D589}" type="pres">
      <dgm:prSet presAssocID="{F343914A-C045-4954-B382-1B17EC8EA662}" presName="parentText" presStyleLbl="node1" presStyleIdx="7" presStyleCnt="8" custLinFactNeighborX="2958" custLinFactNeighborY="2187">
        <dgm:presLayoutVars>
          <dgm:chMax val="1"/>
          <dgm:bulletEnabled val="1"/>
        </dgm:presLayoutVars>
      </dgm:prSet>
      <dgm:spPr/>
      <dgm:t>
        <a:bodyPr/>
        <a:lstStyle/>
        <a:p>
          <a:endParaRPr lang="fr-FR"/>
        </a:p>
      </dgm:t>
    </dgm:pt>
    <dgm:pt modelId="{58887116-63A2-41A8-AB76-B8B483C0C3B4}" type="pres">
      <dgm:prSet presAssocID="{F343914A-C045-4954-B382-1B17EC8EA662}" presName="descendantText" presStyleLbl="alignAccFollowNode1" presStyleIdx="7" presStyleCnt="8" custLinFactNeighborX="5259" custLinFactNeighborY="2734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</dgm:ptLst>
  <dgm:cxnLst>
    <dgm:cxn modelId="{34DF9CD8-E2B3-4668-B985-1EB5C66DC43F}" srcId="{25B88E51-490C-48F0-AD57-6BAB1EBA6B89}" destId="{2C427F15-863A-4D79-ADE7-F0804CAC756B}" srcOrd="0" destOrd="0" parTransId="{A2E62FAF-1BCA-473D-9A29-326550562CBE}" sibTransId="{FD6286FA-F990-48A0-90B4-387DDC894C9A}"/>
    <dgm:cxn modelId="{5017125E-9E02-47B5-A008-5F65C18568E3}" type="presOf" srcId="{164E00D0-7877-47FB-9514-490B14098FD5}" destId="{6234E6FD-0F6D-433F-9370-74CAAC65BE87}" srcOrd="0" destOrd="1" presId="urn:microsoft.com/office/officeart/2005/8/layout/vList5"/>
    <dgm:cxn modelId="{79ECF171-B7CB-4C20-A21C-3D07FA808C09}" type="presOf" srcId="{4B606CC7-5E31-4A6A-B8B0-846D6CCA3520}" destId="{AE22FCC5-C18F-4B1D-87AA-F7BBD48475E8}" srcOrd="0" destOrd="0" presId="urn:microsoft.com/office/officeart/2005/8/layout/vList5"/>
    <dgm:cxn modelId="{883D0E07-4072-4D1C-92B0-C505FEC39531}" srcId="{2C427F15-863A-4D79-ADE7-F0804CAC756B}" destId="{630D9749-7FB0-4022-AE87-4B3D003F7C4A}" srcOrd="0" destOrd="0" parTransId="{EDB2AED9-9A25-4988-8B7A-5FB4049E556D}" sibTransId="{366994F3-038B-4604-B88E-D93B3A92A7C1}"/>
    <dgm:cxn modelId="{D5593172-1468-419B-A34C-D1BA053F6732}" type="presOf" srcId="{DA0BC046-9F56-463F-9DEA-3CCAA601C74E}" destId="{14A24788-9A24-4B52-A918-13F1E1C44D2C}" srcOrd="0" destOrd="0" presId="urn:microsoft.com/office/officeart/2005/8/layout/vList5"/>
    <dgm:cxn modelId="{2603F7E4-B55C-48BB-B122-8E6D561961BB}" type="presOf" srcId="{CECE1FFE-170F-463A-878B-DF2FA790E185}" destId="{58887116-63A2-41A8-AB76-B8B483C0C3B4}" srcOrd="0" destOrd="0" presId="urn:microsoft.com/office/officeart/2005/8/layout/vList5"/>
    <dgm:cxn modelId="{31B2EB23-30A7-4D23-8023-87FAEABAA7AC}" type="presOf" srcId="{D5D7D1A7-A6BA-4AF1-818F-72AFAF75EBD3}" destId="{2C0145A8-7C1C-47C7-8E71-6212B7CDBC35}" srcOrd="0" destOrd="0" presId="urn:microsoft.com/office/officeart/2005/8/layout/vList5"/>
    <dgm:cxn modelId="{1574EE58-C10A-45E0-B6CE-D19E80FC9049}" type="presOf" srcId="{6D1ECB20-EE98-4558-9FF7-87B4DB9A83E7}" destId="{68CB0B32-7508-4231-923A-FAF5FCACFEB6}" srcOrd="0" destOrd="1" presId="urn:microsoft.com/office/officeart/2005/8/layout/vList5"/>
    <dgm:cxn modelId="{3643626E-384A-4E08-98D8-F1A8554F95F7}" srcId="{84476DEF-5FA9-48AD-913B-64D04BFA53EC}" destId="{C2806193-068F-418A-A505-C7992B65505F}" srcOrd="0" destOrd="0" parTransId="{FEFE7B95-E0E2-4923-B422-348504F86A5F}" sibTransId="{3AF9BE6C-75C0-4EED-A153-248D4A98B2E1}"/>
    <dgm:cxn modelId="{5EBA8505-8C5E-4D82-9E86-384EC1916CD7}" srcId="{5F4F7895-EFD0-4CF4-9EF1-396D1C2620D9}" destId="{6D1ECB20-EE98-4558-9FF7-87B4DB9A83E7}" srcOrd="1" destOrd="0" parTransId="{E462654D-E76F-41C9-A89D-C80D339FC426}" sibTransId="{DFC8BAD4-270E-4968-9C61-31B1AA450E5F}"/>
    <dgm:cxn modelId="{C2C39588-21DD-470F-966A-A41B4165B0C0}" srcId="{CBA0F224-461D-4D54-BA93-97A7136A0283}" destId="{269D91C1-F1DB-487D-85A3-0BDE9185FF0E}" srcOrd="0" destOrd="0" parTransId="{88E9EF60-AF7E-4614-ACA7-78142AD75314}" sibTransId="{5728177B-D4E8-41BC-B982-1A6C6198F590}"/>
    <dgm:cxn modelId="{0BE7D27A-7C49-45FC-ADB8-85C55DB4E4B6}" srcId="{4CD64D4E-394A-4A41-AC50-DF73FBA2BFED}" destId="{DA0BC046-9F56-463F-9DEA-3CCAA601C74E}" srcOrd="0" destOrd="0" parTransId="{A14FCE39-E9F1-4575-8B9E-C5DEAF1E188A}" sibTransId="{AE6296FF-AA0A-4E84-9816-D3565312CBE5}"/>
    <dgm:cxn modelId="{EB188A60-3035-4570-BC6D-99A53A36F1A8}" type="presOf" srcId="{5F4F7895-EFD0-4CF4-9EF1-396D1C2620D9}" destId="{FE84ACE0-18EE-4FB6-B80B-50171D3A591A}" srcOrd="0" destOrd="0" presId="urn:microsoft.com/office/officeart/2005/8/layout/vList5"/>
    <dgm:cxn modelId="{E98CB246-1132-4116-BDC6-5E4975CF042D}" type="presOf" srcId="{4CD64D4E-394A-4A41-AC50-DF73FBA2BFED}" destId="{5ACC5B0E-F007-4234-A84E-553231A786C0}" srcOrd="0" destOrd="0" presId="urn:microsoft.com/office/officeart/2005/8/layout/vList5"/>
    <dgm:cxn modelId="{75815BC8-3FCF-472B-B78B-DFD8E92FDE7F}" type="presOf" srcId="{84476DEF-5FA9-48AD-913B-64D04BFA53EC}" destId="{489413B4-84AC-401B-89E3-2853BDEC46FA}" srcOrd="0" destOrd="0" presId="urn:microsoft.com/office/officeart/2005/8/layout/vList5"/>
    <dgm:cxn modelId="{10CF0CAE-2AAD-4609-9EF6-4BF1217BEB69}" srcId="{25B88E51-490C-48F0-AD57-6BAB1EBA6B89}" destId="{F343914A-C045-4954-B382-1B17EC8EA662}" srcOrd="7" destOrd="0" parTransId="{667F3AA7-D27D-4DAF-A67C-E85032A9340E}" sibTransId="{A0EB3BAD-7A79-44D3-B5B4-572935DA428F}"/>
    <dgm:cxn modelId="{31E5D961-D4B3-4A5E-A405-B665B0DB93F2}" type="presOf" srcId="{F343914A-C045-4954-B382-1B17EC8EA662}" destId="{FFB5AD20-6155-42CD-B41B-C4A6B597D589}" srcOrd="0" destOrd="0" presId="urn:microsoft.com/office/officeart/2005/8/layout/vList5"/>
    <dgm:cxn modelId="{87B3A51D-53B5-4A2C-9484-CD23CCE0A1D7}" srcId="{25B88E51-490C-48F0-AD57-6BAB1EBA6B89}" destId="{D5D7D1A7-A6BA-4AF1-818F-72AFAF75EBD3}" srcOrd="3" destOrd="0" parTransId="{5CE334A4-001E-4E88-9C4F-5F5CF9302212}" sibTransId="{C3DC4419-817C-4C20-9728-D56AA554CB2E}"/>
    <dgm:cxn modelId="{57F6D904-BA82-466E-B649-04BAAECBB242}" type="presOf" srcId="{2C427F15-863A-4D79-ADE7-F0804CAC756B}" destId="{3A603366-77C0-47CF-B706-7E3C8DFD9564}" srcOrd="0" destOrd="0" presId="urn:microsoft.com/office/officeart/2005/8/layout/vList5"/>
    <dgm:cxn modelId="{98339201-A9D3-45D9-AE53-EF70309F1AC0}" srcId="{25B88E51-490C-48F0-AD57-6BAB1EBA6B89}" destId="{4B606CC7-5E31-4A6A-B8B0-846D6CCA3520}" srcOrd="4" destOrd="0" parTransId="{F768E64E-8A9D-4266-A7A7-F55BC09315E1}" sibTransId="{7E5094C1-AAFC-4FC3-B039-0D92519A4C2D}"/>
    <dgm:cxn modelId="{95A0620D-5E1A-4155-B0A4-FA6E1A8F2FD2}" srcId="{5F4F7895-EFD0-4CF4-9EF1-396D1C2620D9}" destId="{4FED8816-07BB-4634-A380-866167090B99}" srcOrd="0" destOrd="0" parTransId="{CF877C1E-A3D7-4B38-A380-1A995F68B9BC}" sibTransId="{7E9F8EDD-3592-40CB-98EE-2F2790690C4C}"/>
    <dgm:cxn modelId="{A760CD59-E4B4-4981-9D6E-3C1E5A54C351}" type="presOf" srcId="{25B88E51-490C-48F0-AD57-6BAB1EBA6B89}" destId="{18670185-8D47-468D-BE90-1DB79DDC3A75}" srcOrd="0" destOrd="0" presId="urn:microsoft.com/office/officeart/2005/8/layout/vList5"/>
    <dgm:cxn modelId="{4CC5B6EB-4069-4EC7-82EB-5EE01ED36763}" srcId="{F343914A-C045-4954-B382-1B17EC8EA662}" destId="{CECE1FFE-170F-463A-878B-DF2FA790E185}" srcOrd="0" destOrd="0" parTransId="{AD80A263-7336-4F56-A263-8F9D1B6F56DA}" sibTransId="{06CB79AC-A5BF-4BA2-8B74-27A8A0009626}"/>
    <dgm:cxn modelId="{94EA15C2-095A-4106-95A9-776100720E24}" srcId="{25B88E51-490C-48F0-AD57-6BAB1EBA6B89}" destId="{CBA0F224-461D-4D54-BA93-97A7136A0283}" srcOrd="5" destOrd="0" parTransId="{4A5250CC-D783-4799-AE2A-02BC7BDF7923}" sibTransId="{23C0595F-9633-4826-A9EF-677DF317AC32}"/>
    <dgm:cxn modelId="{B6DC38CB-E7CA-46A1-B975-F670FF1F505E}" type="presOf" srcId="{269D91C1-F1DB-487D-85A3-0BDE9185FF0E}" destId="{6234E6FD-0F6D-433F-9370-74CAAC65BE87}" srcOrd="0" destOrd="0" presId="urn:microsoft.com/office/officeart/2005/8/layout/vList5"/>
    <dgm:cxn modelId="{B970AD1A-81FB-47D3-A939-33DB017F05B0}" type="presOf" srcId="{CBA0F224-461D-4D54-BA93-97A7136A0283}" destId="{688C8F88-D202-460E-BD4C-1B464A99E3E2}" srcOrd="0" destOrd="0" presId="urn:microsoft.com/office/officeart/2005/8/layout/vList5"/>
    <dgm:cxn modelId="{4174B677-1C10-44BD-9B37-1B4F58E926B2}" type="presOf" srcId="{630D9749-7FB0-4022-AE87-4B3D003F7C4A}" destId="{EC03BE9F-E89F-4883-882F-74B75E2A0019}" srcOrd="0" destOrd="0" presId="urn:microsoft.com/office/officeart/2005/8/layout/vList5"/>
    <dgm:cxn modelId="{881ACCDA-E010-48E4-9AA5-D172252222FE}" type="presOf" srcId="{59B56A89-5A62-4D6F-979F-DD8D73086ED3}" destId="{43FFDA6B-2FDC-49E5-8A19-7D3D3EE01CDB}" srcOrd="0" destOrd="0" presId="urn:microsoft.com/office/officeart/2005/8/layout/vList5"/>
    <dgm:cxn modelId="{EF8CFF8E-1AED-409A-A5F1-EFDB39B1B304}" srcId="{D5D7D1A7-A6BA-4AF1-818F-72AFAF75EBD3}" destId="{7C6AC49B-EA7F-4A2B-A4AE-48D5DED4922B}" srcOrd="0" destOrd="0" parTransId="{8F224DF2-9555-4629-86F7-351CF390ABD7}" sibTransId="{023976E8-D043-4522-A7DE-0D5012E0CDE5}"/>
    <dgm:cxn modelId="{A10C8248-2CC7-46D1-AA63-D3592773B4B3}" srcId="{4B606CC7-5E31-4A6A-B8B0-846D6CCA3520}" destId="{59B56A89-5A62-4D6F-979F-DD8D73086ED3}" srcOrd="0" destOrd="0" parTransId="{0B39D2FE-2173-427B-AE83-72078BBE9CEE}" sibTransId="{D2C9847D-4669-441D-A920-F211E3129C9F}"/>
    <dgm:cxn modelId="{98233A9D-FD78-4C35-B974-B82D502AE91D}" srcId="{25B88E51-490C-48F0-AD57-6BAB1EBA6B89}" destId="{5F4F7895-EFD0-4CF4-9EF1-396D1C2620D9}" srcOrd="2" destOrd="0" parTransId="{DD49B1E6-AA2A-49FC-B95C-C07F5E9895EF}" sibTransId="{10B7F062-883C-47E4-B3C1-0E7871F39CD3}"/>
    <dgm:cxn modelId="{5A326FD0-FD6D-419D-9D5E-5ECABC40B45E}" srcId="{25B88E51-490C-48F0-AD57-6BAB1EBA6B89}" destId="{4CD64D4E-394A-4A41-AC50-DF73FBA2BFED}" srcOrd="6" destOrd="0" parTransId="{D5CC075E-4CEC-48A9-850D-23E07F1B5AB2}" sibTransId="{F12B6500-4A46-4040-A949-9EAF37A2B4AB}"/>
    <dgm:cxn modelId="{488706F4-217D-4E09-B9B4-2AC128E1B033}" srcId="{25B88E51-490C-48F0-AD57-6BAB1EBA6B89}" destId="{84476DEF-5FA9-48AD-913B-64D04BFA53EC}" srcOrd="1" destOrd="0" parTransId="{E9BF3779-886B-4AEF-8F54-2A7FE2DC2E1F}" sibTransId="{F586D9E5-40F3-4997-8FE0-725F7202A3FF}"/>
    <dgm:cxn modelId="{B1120385-DD77-479B-ABB9-3E3108AEFA80}" type="presOf" srcId="{7C6AC49B-EA7F-4A2B-A4AE-48D5DED4922B}" destId="{3AD7B392-399E-443E-95BA-CD08F44F499C}" srcOrd="0" destOrd="0" presId="urn:microsoft.com/office/officeart/2005/8/layout/vList5"/>
    <dgm:cxn modelId="{8CF46F1A-CB7A-44AC-8A7E-3C680B909373}" srcId="{CBA0F224-461D-4D54-BA93-97A7136A0283}" destId="{164E00D0-7877-47FB-9514-490B14098FD5}" srcOrd="1" destOrd="0" parTransId="{7810930D-2432-4B38-9CC2-291842177BCE}" sibTransId="{C137A666-8544-4202-BA4D-8EF9DCBEBC0A}"/>
    <dgm:cxn modelId="{F4527CE2-DEEF-4516-A48A-38F80DE17342}" type="presOf" srcId="{4FED8816-07BB-4634-A380-866167090B99}" destId="{68CB0B32-7508-4231-923A-FAF5FCACFEB6}" srcOrd="0" destOrd="0" presId="urn:microsoft.com/office/officeart/2005/8/layout/vList5"/>
    <dgm:cxn modelId="{E81E92B4-994F-4D03-87D2-1F53A3467AA5}" type="presOf" srcId="{C2806193-068F-418A-A505-C7992B65505F}" destId="{AE86AEFD-6D23-4F4E-B4CD-52416064A43D}" srcOrd="0" destOrd="0" presId="urn:microsoft.com/office/officeart/2005/8/layout/vList5"/>
    <dgm:cxn modelId="{FCDCCF4A-16F4-44CC-98F7-2C046E091FC2}" type="presParOf" srcId="{18670185-8D47-468D-BE90-1DB79DDC3A75}" destId="{53F64DA0-4A88-47A7-9524-08CDFA5AE516}" srcOrd="0" destOrd="0" presId="urn:microsoft.com/office/officeart/2005/8/layout/vList5"/>
    <dgm:cxn modelId="{96E55FEE-7521-4DBF-BD48-E7472E4E4A40}" type="presParOf" srcId="{53F64DA0-4A88-47A7-9524-08CDFA5AE516}" destId="{3A603366-77C0-47CF-B706-7E3C8DFD9564}" srcOrd="0" destOrd="0" presId="urn:microsoft.com/office/officeart/2005/8/layout/vList5"/>
    <dgm:cxn modelId="{D0A9BF00-E7A5-478D-AB9C-04185E838E10}" type="presParOf" srcId="{53F64DA0-4A88-47A7-9524-08CDFA5AE516}" destId="{EC03BE9F-E89F-4883-882F-74B75E2A0019}" srcOrd="1" destOrd="0" presId="urn:microsoft.com/office/officeart/2005/8/layout/vList5"/>
    <dgm:cxn modelId="{F81B0DF6-54DF-4E9D-8B85-2EA9314D1847}" type="presParOf" srcId="{18670185-8D47-468D-BE90-1DB79DDC3A75}" destId="{EDE111D0-6127-471F-B044-D534065B8370}" srcOrd="1" destOrd="0" presId="urn:microsoft.com/office/officeart/2005/8/layout/vList5"/>
    <dgm:cxn modelId="{46E0D366-A950-477F-93B4-2FDC44700937}" type="presParOf" srcId="{18670185-8D47-468D-BE90-1DB79DDC3A75}" destId="{7DF1D439-82B1-495C-9F3A-CD0CC0A0AA70}" srcOrd="2" destOrd="0" presId="urn:microsoft.com/office/officeart/2005/8/layout/vList5"/>
    <dgm:cxn modelId="{951FADDB-A437-4564-9B99-823ED12918A1}" type="presParOf" srcId="{7DF1D439-82B1-495C-9F3A-CD0CC0A0AA70}" destId="{489413B4-84AC-401B-89E3-2853BDEC46FA}" srcOrd="0" destOrd="0" presId="urn:microsoft.com/office/officeart/2005/8/layout/vList5"/>
    <dgm:cxn modelId="{D6214A6D-1650-45E3-8CCB-30D1923D6A5F}" type="presParOf" srcId="{7DF1D439-82B1-495C-9F3A-CD0CC0A0AA70}" destId="{AE86AEFD-6D23-4F4E-B4CD-52416064A43D}" srcOrd="1" destOrd="0" presId="urn:microsoft.com/office/officeart/2005/8/layout/vList5"/>
    <dgm:cxn modelId="{DF9F1C6F-8FD4-4B45-BDF4-CE7DC473FBC4}" type="presParOf" srcId="{18670185-8D47-468D-BE90-1DB79DDC3A75}" destId="{FDA67931-1A3B-4643-8C6A-D0B524E78228}" srcOrd="3" destOrd="0" presId="urn:microsoft.com/office/officeart/2005/8/layout/vList5"/>
    <dgm:cxn modelId="{22B4097E-9B83-4B8B-9CAD-52C86B58106A}" type="presParOf" srcId="{18670185-8D47-468D-BE90-1DB79DDC3A75}" destId="{0AE6CF50-04D0-4A27-BDE1-94B8E393B99A}" srcOrd="4" destOrd="0" presId="urn:microsoft.com/office/officeart/2005/8/layout/vList5"/>
    <dgm:cxn modelId="{1CF592BC-A81F-41E6-A259-7DEF456EB3C9}" type="presParOf" srcId="{0AE6CF50-04D0-4A27-BDE1-94B8E393B99A}" destId="{FE84ACE0-18EE-4FB6-B80B-50171D3A591A}" srcOrd="0" destOrd="0" presId="urn:microsoft.com/office/officeart/2005/8/layout/vList5"/>
    <dgm:cxn modelId="{C9295318-A564-4470-A1E7-B9760F549EC4}" type="presParOf" srcId="{0AE6CF50-04D0-4A27-BDE1-94B8E393B99A}" destId="{68CB0B32-7508-4231-923A-FAF5FCACFEB6}" srcOrd="1" destOrd="0" presId="urn:microsoft.com/office/officeart/2005/8/layout/vList5"/>
    <dgm:cxn modelId="{3A3708D5-EE93-4C31-8048-7617D68A6E0F}" type="presParOf" srcId="{18670185-8D47-468D-BE90-1DB79DDC3A75}" destId="{0BAC8434-00BC-4211-8F72-FD3F8597EDCA}" srcOrd="5" destOrd="0" presId="urn:microsoft.com/office/officeart/2005/8/layout/vList5"/>
    <dgm:cxn modelId="{AF1498B3-F125-45F3-B0F2-01AD47DF6532}" type="presParOf" srcId="{18670185-8D47-468D-BE90-1DB79DDC3A75}" destId="{78B0708A-9C8C-420B-ABB0-C2A0DAA72E9F}" srcOrd="6" destOrd="0" presId="urn:microsoft.com/office/officeart/2005/8/layout/vList5"/>
    <dgm:cxn modelId="{EB627767-9B9E-4208-A5BD-721DF4378C74}" type="presParOf" srcId="{78B0708A-9C8C-420B-ABB0-C2A0DAA72E9F}" destId="{2C0145A8-7C1C-47C7-8E71-6212B7CDBC35}" srcOrd="0" destOrd="0" presId="urn:microsoft.com/office/officeart/2005/8/layout/vList5"/>
    <dgm:cxn modelId="{BF1479F9-0BEB-41F1-93A6-7D69F696A843}" type="presParOf" srcId="{78B0708A-9C8C-420B-ABB0-C2A0DAA72E9F}" destId="{3AD7B392-399E-443E-95BA-CD08F44F499C}" srcOrd="1" destOrd="0" presId="urn:microsoft.com/office/officeart/2005/8/layout/vList5"/>
    <dgm:cxn modelId="{59233BEB-D5A2-43DE-A7FF-E664CF5AE8D4}" type="presParOf" srcId="{18670185-8D47-468D-BE90-1DB79DDC3A75}" destId="{57F6B550-9573-45B5-B457-0D68DC828A00}" srcOrd="7" destOrd="0" presId="urn:microsoft.com/office/officeart/2005/8/layout/vList5"/>
    <dgm:cxn modelId="{7D56CA6B-FEA2-490B-9733-80C861604282}" type="presParOf" srcId="{18670185-8D47-468D-BE90-1DB79DDC3A75}" destId="{DBBB923F-256E-4323-9EC4-39C472099C69}" srcOrd="8" destOrd="0" presId="urn:microsoft.com/office/officeart/2005/8/layout/vList5"/>
    <dgm:cxn modelId="{C41C0C91-C5B1-4F54-8389-46FAD5389DFF}" type="presParOf" srcId="{DBBB923F-256E-4323-9EC4-39C472099C69}" destId="{AE22FCC5-C18F-4B1D-87AA-F7BBD48475E8}" srcOrd="0" destOrd="0" presId="urn:microsoft.com/office/officeart/2005/8/layout/vList5"/>
    <dgm:cxn modelId="{5498853C-2D9D-4089-BE84-EDC2F5BC949E}" type="presParOf" srcId="{DBBB923F-256E-4323-9EC4-39C472099C69}" destId="{43FFDA6B-2FDC-49E5-8A19-7D3D3EE01CDB}" srcOrd="1" destOrd="0" presId="urn:microsoft.com/office/officeart/2005/8/layout/vList5"/>
    <dgm:cxn modelId="{A2D40234-267A-4F6D-B84C-5AAD02374635}" type="presParOf" srcId="{18670185-8D47-468D-BE90-1DB79DDC3A75}" destId="{9EDEC4E4-78DA-4008-8CBC-26B77741DFF3}" srcOrd="9" destOrd="0" presId="urn:microsoft.com/office/officeart/2005/8/layout/vList5"/>
    <dgm:cxn modelId="{7FCB2BF1-C2E2-48CA-A71D-4A030CE1D4C8}" type="presParOf" srcId="{18670185-8D47-468D-BE90-1DB79DDC3A75}" destId="{F65C884D-F386-43DB-A497-3C8ED90A5D8E}" srcOrd="10" destOrd="0" presId="urn:microsoft.com/office/officeart/2005/8/layout/vList5"/>
    <dgm:cxn modelId="{F2C27DE9-B1DA-46A0-BCE6-8EE76DE202ED}" type="presParOf" srcId="{F65C884D-F386-43DB-A497-3C8ED90A5D8E}" destId="{688C8F88-D202-460E-BD4C-1B464A99E3E2}" srcOrd="0" destOrd="0" presId="urn:microsoft.com/office/officeart/2005/8/layout/vList5"/>
    <dgm:cxn modelId="{4C88B835-2BB6-4DFF-96C8-579E31CD432C}" type="presParOf" srcId="{F65C884D-F386-43DB-A497-3C8ED90A5D8E}" destId="{6234E6FD-0F6D-433F-9370-74CAAC65BE87}" srcOrd="1" destOrd="0" presId="urn:microsoft.com/office/officeart/2005/8/layout/vList5"/>
    <dgm:cxn modelId="{833021DE-7B41-41A3-8689-CA8E48E2706D}" type="presParOf" srcId="{18670185-8D47-468D-BE90-1DB79DDC3A75}" destId="{5F089ABE-F701-44CC-94D2-7FFEB09864E8}" srcOrd="11" destOrd="0" presId="urn:microsoft.com/office/officeart/2005/8/layout/vList5"/>
    <dgm:cxn modelId="{34A1C5E3-8748-4AB5-B0E2-0E0DC4E559F7}" type="presParOf" srcId="{18670185-8D47-468D-BE90-1DB79DDC3A75}" destId="{34C5DF67-6C13-4EF2-A186-2DFC10412921}" srcOrd="12" destOrd="0" presId="urn:microsoft.com/office/officeart/2005/8/layout/vList5"/>
    <dgm:cxn modelId="{31469DE2-6277-4F2F-A5D1-3D7D0F91DAC0}" type="presParOf" srcId="{34C5DF67-6C13-4EF2-A186-2DFC10412921}" destId="{5ACC5B0E-F007-4234-A84E-553231A786C0}" srcOrd="0" destOrd="0" presId="urn:microsoft.com/office/officeart/2005/8/layout/vList5"/>
    <dgm:cxn modelId="{33CE8402-90CD-4B4B-8E28-8A08A035236C}" type="presParOf" srcId="{34C5DF67-6C13-4EF2-A186-2DFC10412921}" destId="{14A24788-9A24-4B52-A918-13F1E1C44D2C}" srcOrd="1" destOrd="0" presId="urn:microsoft.com/office/officeart/2005/8/layout/vList5"/>
    <dgm:cxn modelId="{8EF5D032-70BB-4BB4-BA7F-BF8FCEC8D66E}" type="presParOf" srcId="{18670185-8D47-468D-BE90-1DB79DDC3A75}" destId="{DE877567-5C43-4E5F-BD19-235213F19B0B}" srcOrd="13" destOrd="0" presId="urn:microsoft.com/office/officeart/2005/8/layout/vList5"/>
    <dgm:cxn modelId="{2D3FE4E5-5634-499A-A65A-9D6E3B3053DA}" type="presParOf" srcId="{18670185-8D47-468D-BE90-1DB79DDC3A75}" destId="{67E15CC1-49BB-4AF5-A3F8-315C94FDB881}" srcOrd="14" destOrd="0" presId="urn:microsoft.com/office/officeart/2005/8/layout/vList5"/>
    <dgm:cxn modelId="{3EADD396-A59E-4121-AE6B-D2F01D3AD922}" type="presParOf" srcId="{67E15CC1-49BB-4AF5-A3F8-315C94FDB881}" destId="{FFB5AD20-6155-42CD-B41B-C4A6B597D589}" srcOrd="0" destOrd="0" presId="urn:microsoft.com/office/officeart/2005/8/layout/vList5"/>
    <dgm:cxn modelId="{619A0221-8FB6-4343-B632-415CE77249B8}" type="presParOf" srcId="{67E15CC1-49BB-4AF5-A3F8-315C94FDB881}" destId="{58887116-63A2-41A8-AB76-B8B483C0C3B4}" srcOrd="1" destOrd="0" presId="urn:microsoft.com/office/officeart/2005/8/layout/vList5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C03BE9F-E89F-4883-882F-74B75E2A0019}">
      <dsp:nvSpPr>
        <dsp:cNvPr id="0" name=""/>
        <dsp:cNvSpPr/>
      </dsp:nvSpPr>
      <dsp:spPr>
        <a:xfrm rot="5400000">
          <a:off x="3092967" y="-1139325"/>
          <a:ext cx="757409" cy="3267456"/>
        </a:xfrm>
        <a:prstGeom prst="round2SameRect">
          <a:avLst/>
        </a:prstGeom>
        <a:solidFill>
          <a:srgbClr val="4BACC6">
            <a:tint val="40000"/>
            <a:alpha val="90000"/>
            <a:hueOff val="0"/>
            <a:satOff val="0"/>
            <a:lumOff val="0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0"/>
              <a:satOff val="0"/>
              <a:lumOff val="0"/>
              <a:alphaOff val="0"/>
            </a:srgb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47650" tIns="123825" rIns="247650" bIns="123825" numCol="1" spcCol="1270" anchor="ctr" anchorCtr="0">
          <a:noAutofit/>
        </a:bodyPr>
        <a:lstStyle/>
        <a:p>
          <a:pPr marL="114300" lvl="1" indent="-114300" algn="ctr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fr-FR" sz="1200" b="1" kern="1200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Calibri" panose="020F0502020204030204"/>
              <a:ea typeface="+mn-ea"/>
              <a:cs typeface="+mn-cs"/>
            </a:rPr>
            <a:t>GEMAPLAST</a:t>
          </a:r>
        </a:p>
      </dsp:txBody>
      <dsp:txXfrm rot="-5400000">
        <a:off x="1837944" y="152672"/>
        <a:ext cx="3230482" cy="683461"/>
      </dsp:txXfrm>
    </dsp:sp>
    <dsp:sp modelId="{3A603366-77C0-47CF-B706-7E3C8DFD9564}">
      <dsp:nvSpPr>
        <dsp:cNvPr id="0" name=""/>
        <dsp:cNvSpPr/>
      </dsp:nvSpPr>
      <dsp:spPr>
        <a:xfrm>
          <a:off x="157066" y="75581"/>
          <a:ext cx="1837944" cy="946762"/>
        </a:xfrm>
        <a:prstGeom prst="roundRect">
          <a:avLst/>
        </a:prstGeom>
        <a:solidFill>
          <a:srgbClr val="4BACC6">
            <a:hueOff val="0"/>
            <a:satOff val="0"/>
            <a:lumOff val="0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5250" tIns="47625" rIns="95250" bIns="47625" numCol="1" spcCol="1270" anchor="ctr" anchorCtr="0">
          <a:noAutofit/>
        </a:bodyPr>
        <a:lstStyle/>
        <a:p>
          <a:pPr lvl="0" algn="ctr" defTabSz="1111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2500" kern="1200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Raison Sociale</a:t>
          </a:r>
        </a:p>
      </dsp:txBody>
      <dsp:txXfrm>
        <a:off x="203283" y="121798"/>
        <a:ext cx="1745510" cy="854328"/>
      </dsp:txXfrm>
    </dsp:sp>
    <dsp:sp modelId="{AE86AEFD-6D23-4F4E-B4CD-52416064A43D}">
      <dsp:nvSpPr>
        <dsp:cNvPr id="0" name=""/>
        <dsp:cNvSpPr/>
      </dsp:nvSpPr>
      <dsp:spPr>
        <a:xfrm rot="5400000">
          <a:off x="3092967" y="-136946"/>
          <a:ext cx="757409" cy="3267456"/>
        </a:xfrm>
        <a:prstGeom prst="round2SameRect">
          <a:avLst/>
        </a:prstGeom>
        <a:solidFill>
          <a:srgbClr val="4BACC6">
            <a:tint val="40000"/>
            <a:alpha val="90000"/>
            <a:hueOff val="-1534355"/>
            <a:satOff val="6893"/>
            <a:lumOff val="474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1534355"/>
              <a:satOff val="6893"/>
              <a:lumOff val="474"/>
              <a:alphaOff val="0"/>
            </a:srgb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47650" tIns="123825" rIns="247650" bIns="123825" numCol="1" spcCol="1270" anchor="ctr" anchorCtr="0">
          <a:noAutofit/>
        </a:bodyPr>
        <a:lstStyle/>
        <a:p>
          <a:pPr marL="114300" lvl="1" indent="-114300" algn="ctr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fr-FR" sz="1200" b="1" kern="1200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Calibri" panose="020F0502020204030204"/>
              <a:ea typeface="+mn-ea"/>
              <a:cs typeface="+mn-cs"/>
            </a:rPr>
            <a:t>Société à Responsabilités Limités</a:t>
          </a:r>
        </a:p>
      </dsp:txBody>
      <dsp:txXfrm rot="-5400000">
        <a:off x="1837944" y="1155051"/>
        <a:ext cx="3230482" cy="683461"/>
      </dsp:txXfrm>
    </dsp:sp>
    <dsp:sp modelId="{489413B4-84AC-401B-89E3-2853BDEC46FA}">
      <dsp:nvSpPr>
        <dsp:cNvPr id="0" name=""/>
        <dsp:cNvSpPr/>
      </dsp:nvSpPr>
      <dsp:spPr>
        <a:xfrm>
          <a:off x="96651" y="1015119"/>
          <a:ext cx="1837944" cy="946762"/>
        </a:xfrm>
        <a:prstGeom prst="roundRect">
          <a:avLst/>
        </a:prstGeom>
        <a:solidFill>
          <a:srgbClr val="4BACC6">
            <a:hueOff val="-1419125"/>
            <a:satOff val="5687"/>
            <a:lumOff val="1233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5250" tIns="47625" rIns="95250" bIns="47625" numCol="1" spcCol="1270" anchor="ctr" anchorCtr="0">
          <a:noAutofit/>
        </a:bodyPr>
        <a:lstStyle/>
        <a:p>
          <a:pPr lvl="0" algn="ctr" defTabSz="1111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2500" kern="1200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Forme Juridique</a:t>
          </a:r>
        </a:p>
      </dsp:txBody>
      <dsp:txXfrm>
        <a:off x="142868" y="1061336"/>
        <a:ext cx="1745510" cy="854328"/>
      </dsp:txXfrm>
    </dsp:sp>
    <dsp:sp modelId="{68CB0B32-7508-4231-923A-FAF5FCACFEB6}">
      <dsp:nvSpPr>
        <dsp:cNvPr id="0" name=""/>
        <dsp:cNvSpPr/>
      </dsp:nvSpPr>
      <dsp:spPr>
        <a:xfrm rot="5400000">
          <a:off x="3092967" y="848874"/>
          <a:ext cx="757409" cy="3267456"/>
        </a:xfrm>
        <a:prstGeom prst="round2SameRect">
          <a:avLst/>
        </a:prstGeom>
        <a:solidFill>
          <a:srgbClr val="4BACC6">
            <a:tint val="40000"/>
            <a:alpha val="90000"/>
            <a:hueOff val="-3068709"/>
            <a:satOff val="13787"/>
            <a:lumOff val="948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3068709"/>
              <a:satOff val="13787"/>
              <a:lumOff val="948"/>
              <a:alphaOff val="0"/>
            </a:srgb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47650" tIns="123825" rIns="247650" bIns="123825" numCol="1" spcCol="1270" anchor="ctr" anchorCtr="0">
          <a:noAutofit/>
        </a:bodyPr>
        <a:lstStyle/>
        <a:p>
          <a:pPr marL="114300" lvl="1" indent="-114300" algn="ctr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fr-FR" sz="1200" b="1" kern="1200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Calibri" panose="020F0502020204030204"/>
              <a:ea typeface="+mn-ea"/>
              <a:cs typeface="+mn-cs"/>
            </a:rPr>
            <a:t>  2018</a:t>
          </a:r>
        </a:p>
        <a:p>
          <a:pPr marL="114300" lvl="1" indent="-114300" algn="ctr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fr-FR" sz="1200" b="1" kern="1200">
            <a:solidFill>
              <a:sysClr val="windowText" lastClr="000000">
                <a:hueOff val="0"/>
                <a:satOff val="0"/>
                <a:lumOff val="0"/>
                <a:alphaOff val="0"/>
              </a:sysClr>
            </a:solidFill>
            <a:latin typeface="Calibri" panose="020F0502020204030204"/>
            <a:ea typeface="+mn-ea"/>
            <a:cs typeface="+mn-cs"/>
          </a:endParaRPr>
        </a:p>
      </dsp:txBody>
      <dsp:txXfrm rot="-5400000">
        <a:off x="1837944" y="2140871"/>
        <a:ext cx="3230482" cy="683461"/>
      </dsp:txXfrm>
    </dsp:sp>
    <dsp:sp modelId="{FE84ACE0-18EE-4FB6-B80B-50171D3A591A}">
      <dsp:nvSpPr>
        <dsp:cNvPr id="0" name=""/>
        <dsp:cNvSpPr/>
      </dsp:nvSpPr>
      <dsp:spPr>
        <a:xfrm>
          <a:off x="107303" y="2009219"/>
          <a:ext cx="1837944" cy="946762"/>
        </a:xfrm>
        <a:prstGeom prst="roundRect">
          <a:avLst/>
        </a:prstGeom>
        <a:solidFill>
          <a:srgbClr val="4BACC6">
            <a:hueOff val="-2838251"/>
            <a:satOff val="11375"/>
            <a:lumOff val="2465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5250" tIns="47625" rIns="95250" bIns="47625" numCol="1" spcCol="1270" anchor="ctr" anchorCtr="0">
          <a:noAutofit/>
        </a:bodyPr>
        <a:lstStyle/>
        <a:p>
          <a:pPr lvl="0" algn="ctr" defTabSz="1111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2500" kern="1200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Date de Création</a:t>
          </a:r>
        </a:p>
      </dsp:txBody>
      <dsp:txXfrm>
        <a:off x="153520" y="2055436"/>
        <a:ext cx="1745510" cy="854328"/>
      </dsp:txXfrm>
    </dsp:sp>
    <dsp:sp modelId="{3AD7B392-399E-443E-95BA-CD08F44F499C}">
      <dsp:nvSpPr>
        <dsp:cNvPr id="0" name=""/>
        <dsp:cNvSpPr/>
      </dsp:nvSpPr>
      <dsp:spPr>
        <a:xfrm rot="5400000">
          <a:off x="3092967" y="1842974"/>
          <a:ext cx="757409" cy="3267456"/>
        </a:xfrm>
        <a:prstGeom prst="round2SameRect">
          <a:avLst/>
        </a:prstGeom>
        <a:solidFill>
          <a:srgbClr val="4BACC6">
            <a:tint val="40000"/>
            <a:alpha val="90000"/>
            <a:hueOff val="-4603064"/>
            <a:satOff val="20680"/>
            <a:lumOff val="1422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4603064"/>
              <a:satOff val="20680"/>
              <a:lumOff val="1422"/>
              <a:alphaOff val="0"/>
            </a:srgb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47650" tIns="123825" rIns="247650" bIns="123825" numCol="1" spcCol="1270" anchor="ctr" anchorCtr="0">
          <a:noAutofit/>
        </a:bodyPr>
        <a:lstStyle/>
        <a:p>
          <a:pPr marL="114300" lvl="1" indent="-114300" algn="ctr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fr-FR" sz="1200" b="1" kern="1200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Calibri" panose="020F0502020204030204"/>
              <a:ea typeface="+mn-ea"/>
              <a:cs typeface="+mn-cs"/>
            </a:rPr>
            <a:t>Mr.LHOUSSAINE AZIZAOU</a:t>
          </a:r>
        </a:p>
      </dsp:txBody>
      <dsp:txXfrm rot="-5400000">
        <a:off x="1837944" y="3134971"/>
        <a:ext cx="3230482" cy="683461"/>
      </dsp:txXfrm>
    </dsp:sp>
    <dsp:sp modelId="{2C0145A8-7C1C-47C7-8E71-6212B7CDBC35}">
      <dsp:nvSpPr>
        <dsp:cNvPr id="0" name=""/>
        <dsp:cNvSpPr/>
      </dsp:nvSpPr>
      <dsp:spPr>
        <a:xfrm>
          <a:off x="96651" y="3003320"/>
          <a:ext cx="1837944" cy="946762"/>
        </a:xfrm>
        <a:prstGeom prst="roundRect">
          <a:avLst/>
        </a:prstGeom>
        <a:solidFill>
          <a:srgbClr val="4BACC6">
            <a:hueOff val="-4257376"/>
            <a:satOff val="17062"/>
            <a:lumOff val="3698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5250" tIns="47625" rIns="95250" bIns="47625" numCol="1" spcCol="1270" anchor="ctr" anchorCtr="0">
          <a:noAutofit/>
        </a:bodyPr>
        <a:lstStyle/>
        <a:p>
          <a:pPr lvl="0" algn="ctr" defTabSz="1111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2500" kern="1200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Directeur Général</a:t>
          </a:r>
        </a:p>
      </dsp:txBody>
      <dsp:txXfrm>
        <a:off x="142868" y="3049537"/>
        <a:ext cx="1745510" cy="854328"/>
      </dsp:txXfrm>
    </dsp:sp>
    <dsp:sp modelId="{43FFDA6B-2FDC-49E5-8A19-7D3D3EE01CDB}">
      <dsp:nvSpPr>
        <dsp:cNvPr id="0" name=""/>
        <dsp:cNvSpPr/>
      </dsp:nvSpPr>
      <dsp:spPr>
        <a:xfrm rot="5400000">
          <a:off x="3092967" y="2837075"/>
          <a:ext cx="757409" cy="3267456"/>
        </a:xfrm>
        <a:prstGeom prst="round2SameRect">
          <a:avLst/>
        </a:prstGeom>
        <a:solidFill>
          <a:srgbClr val="4BACC6">
            <a:tint val="40000"/>
            <a:alpha val="90000"/>
            <a:hueOff val="-6137418"/>
            <a:satOff val="27573"/>
            <a:lumOff val="1895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6137418"/>
              <a:satOff val="27573"/>
              <a:lumOff val="1895"/>
              <a:alphaOff val="0"/>
            </a:srgb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47650" tIns="123825" rIns="247650" bIns="123825" numCol="1" spcCol="1270" anchor="ctr" anchorCtr="0">
          <a:noAutofit/>
        </a:bodyPr>
        <a:lstStyle/>
        <a:p>
          <a:pPr marL="114300" lvl="1" indent="-114300" algn="l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fr-FR" sz="1200" b="1" i="0" kern="1200"/>
            <a:t>la production des conduites en polyvinyle de chlorure (PVC-U) et polyéthylène haute densité (PEHD).</a:t>
          </a:r>
        </a:p>
      </dsp:txBody>
      <dsp:txXfrm rot="-5400000">
        <a:off x="1837944" y="4129072"/>
        <a:ext cx="3230482" cy="683461"/>
      </dsp:txXfrm>
    </dsp:sp>
    <dsp:sp modelId="{AE22FCC5-C18F-4B1D-87AA-F7BBD48475E8}">
      <dsp:nvSpPr>
        <dsp:cNvPr id="0" name=""/>
        <dsp:cNvSpPr/>
      </dsp:nvSpPr>
      <dsp:spPr>
        <a:xfrm>
          <a:off x="96651" y="3997420"/>
          <a:ext cx="1837944" cy="946762"/>
        </a:xfrm>
        <a:prstGeom prst="roundRect">
          <a:avLst/>
        </a:prstGeom>
        <a:solidFill>
          <a:srgbClr val="4BACC6">
            <a:hueOff val="-5676501"/>
            <a:satOff val="22749"/>
            <a:lumOff val="4930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5250" tIns="47625" rIns="95250" bIns="47625" numCol="1" spcCol="1270" anchor="ctr" anchorCtr="0">
          <a:noAutofit/>
        </a:bodyPr>
        <a:lstStyle/>
        <a:p>
          <a:pPr lvl="0" algn="ctr" defTabSz="1111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2500" kern="1200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Activités Principale</a:t>
          </a:r>
        </a:p>
      </dsp:txBody>
      <dsp:txXfrm>
        <a:off x="142868" y="4043637"/>
        <a:ext cx="1745510" cy="854328"/>
      </dsp:txXfrm>
    </dsp:sp>
    <dsp:sp modelId="{6234E6FD-0F6D-433F-9370-74CAAC65BE87}">
      <dsp:nvSpPr>
        <dsp:cNvPr id="0" name=""/>
        <dsp:cNvSpPr/>
      </dsp:nvSpPr>
      <dsp:spPr>
        <a:xfrm rot="5400000">
          <a:off x="3092967" y="3848088"/>
          <a:ext cx="757409" cy="3267456"/>
        </a:xfrm>
        <a:prstGeom prst="round2SameRect">
          <a:avLst/>
        </a:prstGeom>
        <a:solidFill>
          <a:srgbClr val="4BACC6">
            <a:tint val="40000"/>
            <a:alpha val="90000"/>
            <a:hueOff val="-7671773"/>
            <a:satOff val="34466"/>
            <a:lumOff val="2369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7671773"/>
              <a:satOff val="34466"/>
              <a:lumOff val="2369"/>
              <a:alphaOff val="0"/>
            </a:srgb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47650" tIns="123825" rIns="247650" bIns="123825" numCol="1" spcCol="1270" anchor="ctr" anchorCtr="0">
          <a:noAutofit/>
        </a:bodyPr>
        <a:lstStyle/>
        <a:p>
          <a:pPr marL="114300" lvl="1" indent="-114300" algn="l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fr-FR" sz="1200" b="1" kern="1200">
            <a:solidFill>
              <a:sysClr val="windowText" lastClr="000000">
                <a:hueOff val="0"/>
                <a:satOff val="0"/>
                <a:lumOff val="0"/>
                <a:alphaOff val="0"/>
              </a:sysClr>
            </a:solidFill>
            <a:latin typeface="Calibri" panose="020F0502020204030204"/>
            <a:ea typeface="+mn-ea"/>
            <a:cs typeface="+mn-cs"/>
          </a:endParaRPr>
        </a:p>
        <a:p>
          <a:pPr marL="114300" lvl="1" indent="-114300" algn="l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fr-FR" sz="1200" b="0" i="0" kern="1200"/>
            <a:t>N°33, Résidence Kawter, Av. Allal El Fassi</a:t>
          </a:r>
          <a:r>
            <a:rPr lang="fr-FR" sz="1200" kern="1200"/>
            <a:t/>
          </a:r>
          <a:br>
            <a:rPr lang="fr-FR" sz="1200" kern="1200"/>
          </a:br>
          <a:r>
            <a:rPr lang="fr-FR" sz="1200" b="0" i="0" kern="1200"/>
            <a:t>Marrakech</a:t>
          </a:r>
          <a:r>
            <a:rPr lang="fr-FR" sz="1200" b="1" i="0" kern="1200"/>
            <a:t/>
          </a:r>
          <a:br>
            <a:rPr lang="fr-FR" sz="1200" b="1" i="0" kern="1200"/>
          </a:br>
          <a:r>
            <a:rPr lang="fr-FR" sz="1200" b="1" kern="1200"/>
            <a:t/>
          </a:r>
          <a:br>
            <a:rPr lang="fr-FR" sz="1200" b="1" kern="1200"/>
          </a:br>
          <a:endParaRPr lang="fr-FR" sz="1200" b="1" kern="1200"/>
        </a:p>
      </dsp:txBody>
      <dsp:txXfrm rot="-5400000">
        <a:off x="1837944" y="5140085"/>
        <a:ext cx="3230482" cy="683461"/>
      </dsp:txXfrm>
    </dsp:sp>
    <dsp:sp modelId="{688C8F88-D202-460E-BD4C-1B464A99E3E2}">
      <dsp:nvSpPr>
        <dsp:cNvPr id="0" name=""/>
        <dsp:cNvSpPr/>
      </dsp:nvSpPr>
      <dsp:spPr>
        <a:xfrm>
          <a:off x="96651" y="4991520"/>
          <a:ext cx="1837944" cy="946762"/>
        </a:xfrm>
        <a:prstGeom prst="roundRect">
          <a:avLst/>
        </a:prstGeom>
        <a:solidFill>
          <a:srgbClr val="4BACC6">
            <a:hueOff val="-7095626"/>
            <a:satOff val="28436"/>
            <a:lumOff val="6163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5250" tIns="47625" rIns="95250" bIns="47625" numCol="1" spcCol="1270" anchor="ctr" anchorCtr="0">
          <a:noAutofit/>
        </a:bodyPr>
        <a:lstStyle/>
        <a:p>
          <a:pPr lvl="0" algn="ctr" defTabSz="1111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2500" kern="1200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Siège Social</a:t>
          </a:r>
        </a:p>
      </dsp:txBody>
      <dsp:txXfrm>
        <a:off x="142868" y="5037737"/>
        <a:ext cx="1745510" cy="854328"/>
      </dsp:txXfrm>
    </dsp:sp>
    <dsp:sp modelId="{14A24788-9A24-4B52-A918-13F1E1C44D2C}">
      <dsp:nvSpPr>
        <dsp:cNvPr id="0" name=""/>
        <dsp:cNvSpPr/>
      </dsp:nvSpPr>
      <dsp:spPr>
        <a:xfrm rot="5400000">
          <a:off x="3092967" y="4825275"/>
          <a:ext cx="757409" cy="3267456"/>
        </a:xfrm>
        <a:prstGeom prst="round2SameRect">
          <a:avLst/>
        </a:prstGeom>
        <a:solidFill>
          <a:srgbClr val="4BACC6">
            <a:tint val="40000"/>
            <a:alpha val="90000"/>
            <a:hueOff val="-9206127"/>
            <a:satOff val="41360"/>
            <a:lumOff val="2843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9206127"/>
              <a:satOff val="41360"/>
              <a:lumOff val="2843"/>
              <a:alphaOff val="0"/>
            </a:srgb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47650" tIns="123825" rIns="247650" bIns="123825" numCol="1" spcCol="1270" anchor="ctr" anchorCtr="0">
          <a:noAutofit/>
        </a:bodyPr>
        <a:lstStyle/>
        <a:p>
          <a:pPr marL="171450" lvl="1" indent="-171450" algn="ctr" defTabSz="8001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fr-FR" sz="1800" b="1" kern="1200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Calibri" panose="020F0502020204030204"/>
              <a:ea typeface="+mn-ea"/>
              <a:cs typeface="+mn-cs"/>
            </a:rPr>
            <a:t>WWW.GEMAPLAST.MA</a:t>
          </a:r>
        </a:p>
      </dsp:txBody>
      <dsp:txXfrm rot="-5400000">
        <a:off x="1837944" y="6117272"/>
        <a:ext cx="3230482" cy="683461"/>
      </dsp:txXfrm>
    </dsp:sp>
    <dsp:sp modelId="{5ACC5B0E-F007-4234-A84E-553231A786C0}">
      <dsp:nvSpPr>
        <dsp:cNvPr id="0" name=""/>
        <dsp:cNvSpPr/>
      </dsp:nvSpPr>
      <dsp:spPr>
        <a:xfrm>
          <a:off x="96651" y="5985620"/>
          <a:ext cx="1837944" cy="946762"/>
        </a:xfrm>
        <a:prstGeom prst="roundRect">
          <a:avLst/>
        </a:prstGeom>
        <a:solidFill>
          <a:srgbClr val="4BACC6">
            <a:hueOff val="-8514751"/>
            <a:satOff val="34124"/>
            <a:lumOff val="7395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5250" tIns="47625" rIns="95250" bIns="47625" numCol="1" spcCol="1270" anchor="ctr" anchorCtr="0">
          <a:noAutofit/>
        </a:bodyPr>
        <a:lstStyle/>
        <a:p>
          <a:pPr lvl="0" algn="ctr" defTabSz="1111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2500" kern="1200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Site Web</a:t>
          </a:r>
        </a:p>
      </dsp:txBody>
      <dsp:txXfrm>
        <a:off x="142868" y="6031837"/>
        <a:ext cx="1745510" cy="854328"/>
      </dsp:txXfrm>
    </dsp:sp>
    <dsp:sp modelId="{58887116-63A2-41A8-AB76-B8B483C0C3B4}">
      <dsp:nvSpPr>
        <dsp:cNvPr id="0" name=""/>
        <dsp:cNvSpPr/>
      </dsp:nvSpPr>
      <dsp:spPr>
        <a:xfrm rot="5400000">
          <a:off x="3092967" y="5819375"/>
          <a:ext cx="757409" cy="3267456"/>
        </a:xfrm>
        <a:prstGeom prst="round2SameRect">
          <a:avLst/>
        </a:prstGeom>
        <a:solidFill>
          <a:srgbClr val="4BACC6">
            <a:tint val="40000"/>
            <a:alpha val="90000"/>
            <a:hueOff val="-10740482"/>
            <a:satOff val="48253"/>
            <a:lumOff val="3317"/>
            <a:alphaOff val="0"/>
          </a:srgbClr>
        </a:solidFill>
        <a:ln w="25400" cap="flat" cmpd="sng" algn="ctr">
          <a:solidFill>
            <a:srgbClr val="4BACC6">
              <a:tint val="40000"/>
              <a:alpha val="90000"/>
              <a:hueOff val="-10740482"/>
              <a:satOff val="48253"/>
              <a:lumOff val="3317"/>
              <a:alphaOff val="0"/>
            </a:srgb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47650" tIns="123825" rIns="247650" bIns="123825" numCol="1" spcCol="1270" anchor="ctr" anchorCtr="0">
          <a:noAutofit/>
        </a:bodyPr>
        <a:lstStyle/>
        <a:p>
          <a:pPr marL="114300" lvl="1" indent="-114300" algn="ctr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fr-FR" sz="1200" b="1" kern="1200">
              <a:solidFill>
                <a:sysClr val="windowText" lastClr="000000">
                  <a:hueOff val="0"/>
                  <a:satOff val="0"/>
                  <a:lumOff val="0"/>
                  <a:alphaOff val="0"/>
                </a:sysClr>
              </a:solidFill>
              <a:latin typeface="Calibri" panose="020F0502020204030204"/>
              <a:ea typeface="+mn-ea"/>
              <a:cs typeface="+mn-cs"/>
            </a:rPr>
            <a:t>Marrakech, </a:t>
          </a:r>
          <a:endParaRPr lang="fr-FR" sz="2200" b="1" kern="1200">
            <a:solidFill>
              <a:sysClr val="windowText" lastClr="000000">
                <a:hueOff val="0"/>
                <a:satOff val="0"/>
                <a:lumOff val="0"/>
                <a:alphaOff val="0"/>
              </a:sysClr>
            </a:solidFill>
            <a:latin typeface="Calibri" panose="020F0502020204030204"/>
            <a:ea typeface="+mn-ea"/>
            <a:cs typeface="+mn-cs"/>
          </a:endParaRPr>
        </a:p>
      </dsp:txBody>
      <dsp:txXfrm rot="-5400000">
        <a:off x="1837944" y="7111372"/>
        <a:ext cx="3230482" cy="683461"/>
      </dsp:txXfrm>
    </dsp:sp>
    <dsp:sp modelId="{FFB5AD20-6155-42CD-B41B-C4A6B597D589}">
      <dsp:nvSpPr>
        <dsp:cNvPr id="0" name=""/>
        <dsp:cNvSpPr/>
      </dsp:nvSpPr>
      <dsp:spPr>
        <a:xfrm>
          <a:off x="96651" y="6959328"/>
          <a:ext cx="1837944" cy="946762"/>
        </a:xfrm>
        <a:prstGeom prst="roundRect">
          <a:avLst/>
        </a:prstGeom>
        <a:solidFill>
          <a:srgbClr val="4BACC6">
            <a:hueOff val="-9933876"/>
            <a:satOff val="39811"/>
            <a:lumOff val="8628"/>
            <a:alphaOff val="0"/>
          </a:srgbClr>
        </a:solidFill>
        <a:ln w="25400" cap="flat" cmpd="sng" algn="ctr">
          <a:solidFill>
            <a:sysClr val="window" lastClr="FFFFFF">
              <a:hueOff val="0"/>
              <a:satOff val="0"/>
              <a:lumOff val="0"/>
              <a:alphaOff val="0"/>
            </a:sys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5250" tIns="47625" rIns="95250" bIns="47625" numCol="1" spcCol="1270" anchor="ctr" anchorCtr="0">
          <a:noAutofit/>
        </a:bodyPr>
        <a:lstStyle/>
        <a:p>
          <a:pPr lvl="0" algn="ctr" defTabSz="1111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2500" kern="1200">
              <a:solidFill>
                <a:sysClr val="window" lastClr="FFFFFF"/>
              </a:solidFill>
              <a:latin typeface="Calibri" panose="020F0502020204030204"/>
              <a:ea typeface="+mn-ea"/>
              <a:cs typeface="+mn-cs"/>
            </a:rPr>
            <a:t>Sites de Production</a:t>
          </a:r>
        </a:p>
      </dsp:txBody>
      <dsp:txXfrm>
        <a:off x="142868" y="7005545"/>
        <a:ext cx="1745510" cy="854328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List5">
  <dgm:title val=""/>
  <dgm:desc val=""/>
  <dgm:catLst>
    <dgm:cat type="list" pri="15000"/>
    <dgm:cat type="convert" pri="2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>
          <dgm:param type="linDir" val="fromT"/>
          <dgm:param type="nodeHorzAlign" val="l"/>
        </dgm:alg>
      </dgm:if>
      <dgm:else name="Name3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linNode" refType="h"/>
      <dgm:constr type="w" for="ch" forName="linNode" refType="w"/>
      <dgm:constr type="h" for="ch" forName="sp" refType="h" fact="0.05"/>
      <dgm:constr type="primFontSz" for="des" forName="parentText" op="equ" val="65"/>
      <dgm:constr type="secFontSz" for="des" forName="descendantText" op="equ"/>
    </dgm:constrLst>
    <dgm:ruleLst/>
    <dgm:forEach name="Name4" axis="ch" ptType="node">
      <dgm:layoutNode name="linNode">
        <dgm:choose name="Name5">
          <dgm:if name="Name6" func="var" arg="dir" op="equ" val="norm">
            <dgm:alg type="lin">
              <dgm:param type="linDir" val="fromL"/>
            </dgm:alg>
          </dgm:if>
          <dgm:else name="Name7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w" for="ch" forName="parentText" refType="w" fact="0.36"/>
          <dgm:constr type="w" for="ch" forName="descendantText" refType="w" fact="0.64"/>
          <dgm:constr type="h" for="ch" forName="parentText" refType="h"/>
          <dgm:constr type="h" for="ch" forName="descendantText" refType="h" refFor="ch" refForName="parentText" fact="0.8"/>
        </dgm:constrLst>
        <dgm:ruleLst/>
        <dgm:layoutNode name="parentText">
          <dgm:varLst>
            <dgm:chMax val="1"/>
            <dgm:bulletEnabled val="1"/>
          </dgm:varLst>
          <dgm:alg type="tx"/>
          <dgm:shape xmlns:r="http://schemas.openxmlformats.org/officeDocument/2006/relationships" type="roundRect" r:blip="" zOrderOff="3">
            <dgm:adjLst/>
          </dgm:shape>
          <dgm:presOf axis="self" ptType="node"/>
          <dgm:constrLst>
            <dgm:constr type="tMarg" refType="primFontSz" fact="0.15"/>
            <dgm:constr type="bMarg" refType="primFontSz" fact="0.15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choose name="Name8">
          <dgm:if name="Name9" axis="ch" ptType="node" func="cnt" op="gte" val="1">
            <dgm:layoutNode name="descendantText" styleLbl="alignAccFollowNode1">
              <dgm:varLst>
                <dgm:bulletEnabled val="1"/>
              </dgm:varLst>
              <dgm:alg type="tx">
                <dgm:param type="stBulletLvl" val="1"/>
                <dgm:param type="txAnchorVertCh" val="mid"/>
              </dgm:alg>
              <dgm:choose name="Name10">
                <dgm:if name="Name11" func="var" arg="dir" op="equ" val="norm">
                  <dgm:shape xmlns:r="http://schemas.openxmlformats.org/officeDocument/2006/relationships" rot="90" type="round2SameRect" r:blip="">
                    <dgm:adjLst/>
                  </dgm:shape>
                </dgm:if>
                <dgm:else name="Name12">
                  <dgm:shape xmlns:r="http://schemas.openxmlformats.org/officeDocument/2006/relationships" rot="-90" type="round2SameRect" r:blip="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lMarg" refType="secFontSz" fact="0.3"/>
                <dgm:constr type="rMarg" refType="secFontSz" fact="0.3"/>
                <dgm:constr type="tMarg" refType="secFontSz" fact="0.15"/>
                <dgm:constr type="bMarg" refType="secFontSz" fact="0.15"/>
              </dgm:constrLst>
              <dgm:ruleLst>
                <dgm:rule type="secFontSz" val="5" fact="NaN" max="NaN"/>
              </dgm:ruleLst>
            </dgm:layoutNode>
          </dgm:if>
          <dgm:else name="Name13"/>
        </dgm:choose>
      </dgm:layoutNode>
      <dgm:forEach name="Name14" axis="followSib" ptType="sibTrans" cnt="1">
        <dgm:layoutNode name="sp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Familles produits'!H117"/><Relationship Id="rId2" Type="http://schemas.openxmlformats.org/officeDocument/2006/relationships/hyperlink" Target="#'Familles produits'!H80"/><Relationship Id="rId1" Type="http://schemas.openxmlformats.org/officeDocument/2006/relationships/hyperlink" Target="#'Familles produits'!H22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3.svg"/><Relationship Id="rId1" Type="http://schemas.openxmlformats.org/officeDocument/2006/relationships/image" Target="../media/image19.png"/><Relationship Id="rId6" Type="http://schemas.openxmlformats.org/officeDocument/2006/relationships/hyperlink" Target="#Inventaire!A1"/><Relationship Id="rId5" Type="http://schemas.openxmlformats.org/officeDocument/2006/relationships/hyperlink" Target="#Transfert!A1"/><Relationship Id="rId4" Type="http://schemas.openxmlformats.org/officeDocument/2006/relationships/image" Target="../media/image5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3.svg"/><Relationship Id="rId1" Type="http://schemas.openxmlformats.org/officeDocument/2006/relationships/image" Target="../media/image21.png"/><Relationship Id="rId5" Type="http://schemas.openxmlformats.org/officeDocument/2006/relationships/hyperlink" Target="#Reception!A1"/><Relationship Id="rId4" Type="http://schemas.openxmlformats.org/officeDocument/2006/relationships/image" Target="../media/image6.sv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3.svg"/><Relationship Id="rId1" Type="http://schemas.openxmlformats.org/officeDocument/2006/relationships/image" Target="../media/image23.png"/><Relationship Id="rId5" Type="http://schemas.openxmlformats.org/officeDocument/2006/relationships/hyperlink" Target="#Reception!A1"/><Relationship Id="rId4" Type="http://schemas.openxmlformats.org/officeDocument/2006/relationships/image" Target="../media/image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hyperlink" Target="#ID_Inventaire!A1"/><Relationship Id="rId7" Type="http://schemas.openxmlformats.org/officeDocument/2006/relationships/image" Target="../media/image25.jpeg"/><Relationship Id="rId2" Type="http://schemas.openxmlformats.org/officeDocument/2006/relationships/image" Target="../media/image7.png"/><Relationship Id="rId1" Type="http://schemas.openxmlformats.org/officeDocument/2006/relationships/hyperlink" Target="#Articles!A1"/><Relationship Id="rId6" Type="http://schemas.openxmlformats.org/officeDocument/2006/relationships/hyperlink" Target="#Clients!A1"/><Relationship Id="rId11" Type="http://schemas.openxmlformats.org/officeDocument/2006/relationships/chart" Target="../charts/chart4.xml"/><Relationship Id="rId5" Type="http://schemas.openxmlformats.org/officeDocument/2006/relationships/hyperlink" Target="#Fsseur!A1"/><Relationship Id="rId10" Type="http://schemas.openxmlformats.org/officeDocument/2006/relationships/chart" Target="../charts/chart3.xml"/><Relationship Id="rId4" Type="http://schemas.openxmlformats.org/officeDocument/2006/relationships/hyperlink" Target="#OrdresArticles!Criteres"/><Relationship Id="rId9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6</xdr:row>
      <xdr:rowOff>123825</xdr:rowOff>
    </xdr:from>
    <xdr:to>
      <xdr:col>12</xdr:col>
      <xdr:colOff>542925</xdr:colOff>
      <xdr:row>11</xdr:row>
      <xdr:rowOff>171450</xdr:rowOff>
    </xdr:to>
    <xdr:sp macro="" textlink="">
      <xdr:nvSpPr>
        <xdr:cNvPr id="6" name="Rectangle à coins arrondis 5"/>
        <xdr:cNvSpPr/>
      </xdr:nvSpPr>
      <xdr:spPr>
        <a:xfrm>
          <a:off x="4686300" y="1219200"/>
          <a:ext cx="4295775" cy="657225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800" b="1" i="1"/>
            <a:t>SOMMAIRE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15</xdr:row>
          <xdr:rowOff>47625</xdr:rowOff>
        </xdr:from>
        <xdr:to>
          <xdr:col>9</xdr:col>
          <xdr:colOff>152400</xdr:colOff>
          <xdr:row>17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17</xdr:row>
          <xdr:rowOff>142875</xdr:rowOff>
        </xdr:from>
        <xdr:to>
          <xdr:col>9</xdr:col>
          <xdr:colOff>152400</xdr:colOff>
          <xdr:row>20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15</xdr:row>
          <xdr:rowOff>47625</xdr:rowOff>
        </xdr:from>
        <xdr:to>
          <xdr:col>10</xdr:col>
          <xdr:colOff>542925</xdr:colOff>
          <xdr:row>17</xdr:row>
          <xdr:rowOff>114300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17</xdr:row>
          <xdr:rowOff>152400</xdr:rowOff>
        </xdr:from>
        <xdr:to>
          <xdr:col>10</xdr:col>
          <xdr:colOff>542925</xdr:colOff>
          <xdr:row>20</xdr:row>
          <xdr:rowOff>95250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17</xdr:row>
          <xdr:rowOff>142875</xdr:rowOff>
        </xdr:from>
        <xdr:to>
          <xdr:col>12</xdr:col>
          <xdr:colOff>200025</xdr:colOff>
          <xdr:row>20</xdr:row>
          <xdr:rowOff>85725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15</xdr:row>
          <xdr:rowOff>38100</xdr:rowOff>
        </xdr:from>
        <xdr:to>
          <xdr:col>12</xdr:col>
          <xdr:colOff>200025</xdr:colOff>
          <xdr:row>17</xdr:row>
          <xdr:rowOff>104775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66675</xdr:colOff>
      <xdr:row>1</xdr:row>
      <xdr:rowOff>19051</xdr:rowOff>
    </xdr:from>
    <xdr:to>
      <xdr:col>17</xdr:col>
      <xdr:colOff>123825</xdr:colOff>
      <xdr:row>3</xdr:row>
      <xdr:rowOff>172963</xdr:rowOff>
    </xdr:to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63075" y="95251"/>
          <a:ext cx="2371725" cy="611112"/>
        </a:xfrm>
        <a:prstGeom prst="roundRect">
          <a:avLst>
            <a:gd name="adj" fmla="val 50000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523875</xdr:colOff>
      <xdr:row>1</xdr:row>
      <xdr:rowOff>31750</xdr:rowOff>
    </xdr:from>
    <xdr:to>
      <xdr:col>13</xdr:col>
      <xdr:colOff>57150</xdr:colOff>
      <xdr:row>3</xdr:row>
      <xdr:rowOff>79375</xdr:rowOff>
    </xdr:to>
    <xdr:sp macro="" textlink="">
      <xdr:nvSpPr>
        <xdr:cNvPr id="3" name="Rectangle : coins arrondis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/>
      </xdr:nvSpPr>
      <xdr:spPr>
        <a:xfrm>
          <a:off x="6619875" y="222250"/>
          <a:ext cx="3343275" cy="428625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Familles Produits</a:t>
          </a:r>
        </a:p>
      </xdr:txBody>
    </xdr:sp>
    <xdr:clientData/>
  </xdr:twoCellAnchor>
  <xdr:twoCellAnchor>
    <xdr:from>
      <xdr:col>3</xdr:col>
      <xdr:colOff>555625</xdr:colOff>
      <xdr:row>4</xdr:row>
      <xdr:rowOff>15875</xdr:rowOff>
    </xdr:from>
    <xdr:to>
      <xdr:col>19</xdr:col>
      <xdr:colOff>536015</xdr:colOff>
      <xdr:row>11</xdr:row>
      <xdr:rowOff>43089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GrpSpPr/>
      </xdr:nvGrpSpPr>
      <xdr:grpSpPr>
        <a:xfrm>
          <a:off x="2841625" y="777875"/>
          <a:ext cx="12172390" cy="1360714"/>
          <a:chOff x="789765" y="974770"/>
          <a:chExt cx="12419079" cy="1690353"/>
        </a:xfrm>
      </xdr:grpSpPr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00000000-0008-0000-0C00-000033000000}"/>
              </a:ext>
            </a:extLst>
          </xdr:cNvPr>
          <xdr:cNvSpPr txBox="1"/>
        </xdr:nvSpPr>
        <xdr:spPr>
          <a:xfrm>
            <a:off x="789765" y="974770"/>
            <a:ext cx="12419079" cy="1690353"/>
          </a:xfrm>
          <a:prstGeom prst="rect">
            <a:avLst/>
          </a:prstGeom>
          <a:noFill/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/>
              <a:t> </a:t>
            </a:r>
            <a:r>
              <a:rPr lang="fr-FR" sz="1100" b="1"/>
              <a:t>GEMAPLAST est sensée de fabriquer 4 tyes de tubes :</a:t>
            </a:r>
            <a:endParaRPr lang="fr-FR" sz="1100" b="1" baseline="0"/>
          </a:p>
          <a:p>
            <a:endParaRPr lang="fr-FR" sz="1100" baseline="0"/>
          </a:p>
          <a:p>
            <a:endParaRPr lang="fr-FR" sz="1100" baseline="0"/>
          </a:p>
          <a:p>
            <a:endParaRPr lang="fr-FR" sz="1100" baseline="0"/>
          </a:p>
          <a:p>
            <a:endParaRPr lang="fr-FR" sz="1100" baseline="0"/>
          </a:p>
          <a:p>
            <a:endParaRPr lang="fr-FR" sz="1100" baseline="0"/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                                                                                                                                                                                                                                              </a:t>
            </a:r>
            <a:endParaRPr lang="fr-FR" b="1">
              <a:effectLst/>
            </a:endParaRPr>
          </a:p>
          <a:p>
            <a:r>
              <a:rPr lang="fr-FR" sz="1100" baseline="0"/>
              <a:t> </a:t>
            </a:r>
          </a:p>
          <a:p>
            <a:r>
              <a:rPr lang="fr-FR" sz="1100" baseline="0"/>
              <a:t>     </a:t>
            </a:r>
            <a:endParaRPr lang="fr-FR" sz="1100"/>
          </a:p>
        </xdr:txBody>
      </xdr:sp>
      <xdr:sp macro="" textlink="">
        <xdr:nvSpPr>
          <xdr:cNvPr id="13" name="Rectangle : coins arrondis 5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C00-000034000000}"/>
              </a:ext>
            </a:extLst>
          </xdr:cNvPr>
          <xdr:cNvSpPr/>
        </xdr:nvSpPr>
        <xdr:spPr>
          <a:xfrm>
            <a:off x="1557941" y="1502535"/>
            <a:ext cx="2891195" cy="563451"/>
          </a:xfrm>
          <a:prstGeom prst="round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800" b="0" cap="none" spc="0">
                <a:ln w="0"/>
                <a:solidFill>
                  <a:schemeClr val="accent2">
                    <a:lumMod val="75000"/>
                  </a:schemeClr>
                </a:solidFill>
                <a:effectLst/>
              </a:rPr>
              <a:t>PEHD_ Double paroi </a:t>
            </a:r>
          </a:p>
        </xdr:txBody>
      </xdr:sp>
      <xdr:sp macro="" textlink="">
        <xdr:nvSpPr>
          <xdr:cNvPr id="14" name="Rectangle : coins arrondis 5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C00-000035000000}"/>
              </a:ext>
            </a:extLst>
          </xdr:cNvPr>
          <xdr:cNvSpPr/>
        </xdr:nvSpPr>
        <xdr:spPr>
          <a:xfrm>
            <a:off x="5238296" y="1502446"/>
            <a:ext cx="2369203" cy="563451"/>
          </a:xfrm>
          <a:prstGeom prst="round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800" b="0" cap="none" spc="0">
                <a:ln w="0"/>
                <a:solidFill>
                  <a:schemeClr val="accent2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PEHD</a:t>
            </a:r>
            <a:r>
              <a:rPr lang="fr-FR" sz="1800" b="0" cap="none" spc="0" baseline="0">
                <a:ln w="0"/>
                <a:solidFill>
                  <a:schemeClr val="accent2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_Ligne Bleue</a:t>
            </a:r>
            <a:endParaRPr lang="fr-FR" sz="1800" b="0" cap="none" spc="0">
              <a:ln w="0"/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5" name="Rectangle : coins arrondis 5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C00-000036000000}"/>
              </a:ext>
            </a:extLst>
          </xdr:cNvPr>
          <xdr:cNvSpPr/>
        </xdr:nvSpPr>
        <xdr:spPr>
          <a:xfrm>
            <a:off x="8321101" y="1509805"/>
            <a:ext cx="1529366" cy="563451"/>
          </a:xfrm>
          <a:prstGeom prst="round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800" b="0" cap="none" spc="0">
                <a:ln w="0"/>
                <a:solidFill>
                  <a:schemeClr val="accent2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PVC Pression</a:t>
            </a:r>
          </a:p>
        </xdr:txBody>
      </xdr:sp>
    </xdr:grpSp>
    <xdr:clientData/>
  </xdr:twoCellAnchor>
  <xdr:twoCellAnchor>
    <xdr:from>
      <xdr:col>8</xdr:col>
      <xdr:colOff>544286</xdr:colOff>
      <xdr:row>11</xdr:row>
      <xdr:rowOff>176893</xdr:rowOff>
    </xdr:from>
    <xdr:to>
      <xdr:col>13</xdr:col>
      <xdr:colOff>54427</xdr:colOff>
      <xdr:row>14</xdr:row>
      <xdr:rowOff>54428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6640286" y="2272393"/>
          <a:ext cx="3320141" cy="449035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PEHD Double</a:t>
          </a:r>
          <a:r>
            <a:rPr lang="fr-FR" sz="1800" b="1" baseline="0"/>
            <a:t> Paroi</a:t>
          </a:r>
          <a:endParaRPr lang="fr-FR" sz="600" b="1"/>
        </a:p>
      </xdr:txBody>
    </xdr:sp>
    <xdr:clientData/>
  </xdr:twoCellAnchor>
  <xdr:twoCellAnchor>
    <xdr:from>
      <xdr:col>5</xdr:col>
      <xdr:colOff>381000</xdr:colOff>
      <xdr:row>15</xdr:row>
      <xdr:rowOff>108857</xdr:rowOff>
    </xdr:from>
    <xdr:to>
      <xdr:col>17</xdr:col>
      <xdr:colOff>501980</xdr:colOff>
      <xdr:row>46</xdr:row>
      <xdr:rowOff>158158</xdr:rowOff>
    </xdr:to>
    <xdr:grpSp>
      <xdr:nvGrpSpPr>
        <xdr:cNvPr id="61" name="Groupe 60">
          <a:extLst>
            <a:ext uri="{FF2B5EF4-FFF2-40B4-BE49-F238E27FC236}">
              <a16:creationId xmlns:a16="http://schemas.microsoft.com/office/drawing/2014/main" id="{00000000-0008-0000-0C00-000012010000}"/>
            </a:ext>
          </a:extLst>
        </xdr:cNvPr>
        <xdr:cNvGrpSpPr/>
      </xdr:nvGrpSpPr>
      <xdr:grpSpPr>
        <a:xfrm>
          <a:off x="4191000" y="2966357"/>
          <a:ext cx="9264980" cy="5954801"/>
          <a:chOff x="1868762" y="4348364"/>
          <a:chExt cx="9329474" cy="5787455"/>
        </a:xfrm>
      </xdr:grpSpPr>
      <xdr:grpSp>
        <xdr:nvGrpSpPr>
          <xdr:cNvPr id="62" name="Groupe 61">
            <a:extLst>
              <a:ext uri="{FF2B5EF4-FFF2-40B4-BE49-F238E27FC236}">
                <a16:creationId xmlns:a16="http://schemas.microsoft.com/office/drawing/2014/main" id="{00000000-0008-0000-0C00-000015010000}"/>
              </a:ext>
            </a:extLst>
          </xdr:cNvPr>
          <xdr:cNvGrpSpPr/>
        </xdr:nvGrpSpPr>
        <xdr:grpSpPr>
          <a:xfrm>
            <a:off x="1868762" y="4348364"/>
            <a:ext cx="9329474" cy="5787455"/>
            <a:chOff x="1868762" y="4348364"/>
            <a:chExt cx="9329474" cy="5787455"/>
          </a:xfrm>
        </xdr:grpSpPr>
        <xdr:grpSp>
          <xdr:nvGrpSpPr>
            <xdr:cNvPr id="64" name="Groupe 63">
              <a:extLst>
                <a:ext uri="{FF2B5EF4-FFF2-40B4-BE49-F238E27FC236}">
                  <a16:creationId xmlns:a16="http://schemas.microsoft.com/office/drawing/2014/main" id="{00000000-0008-0000-0C00-000024010000}"/>
                </a:ext>
              </a:extLst>
            </xdr:cNvPr>
            <xdr:cNvGrpSpPr/>
          </xdr:nvGrpSpPr>
          <xdr:grpSpPr>
            <a:xfrm>
              <a:off x="1868762" y="4348364"/>
              <a:ext cx="9329474" cy="5787455"/>
              <a:chOff x="1868762" y="4348364"/>
              <a:chExt cx="9329474" cy="5787455"/>
            </a:xfrm>
          </xdr:grpSpPr>
          <xdr:sp macro="" textlink="">
            <xdr:nvSpPr>
              <xdr:cNvPr id="66" name="Flèche : bas 306">
                <a:extLst>
                  <a:ext uri="{FF2B5EF4-FFF2-40B4-BE49-F238E27FC236}">
                    <a16:creationId xmlns:a16="http://schemas.microsoft.com/office/drawing/2014/main" id="{00000000-0008-0000-0C00-000033010000}"/>
                  </a:ext>
                </a:extLst>
              </xdr:cNvPr>
              <xdr:cNvSpPr/>
            </xdr:nvSpPr>
            <xdr:spPr>
              <a:xfrm>
                <a:off x="5216018" y="5596440"/>
                <a:ext cx="104775" cy="254492"/>
              </a:xfrm>
              <a:prstGeom prst="downArrow">
                <a:avLst/>
              </a:prstGeom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7" name="Ellipse 66">
                <a:extLst>
                  <a:ext uri="{FF2B5EF4-FFF2-40B4-BE49-F238E27FC236}">
                    <a16:creationId xmlns:a16="http://schemas.microsoft.com/office/drawing/2014/main" id="{00000000-0008-0000-0C00-00002D010000}"/>
                  </a:ext>
                </a:extLst>
              </xdr:cNvPr>
              <xdr:cNvSpPr/>
            </xdr:nvSpPr>
            <xdr:spPr>
              <a:xfrm>
                <a:off x="2098485" y="4357889"/>
                <a:ext cx="1557941" cy="451834"/>
              </a:xfrm>
              <a:prstGeom prst="ellipse">
                <a:avLst/>
              </a:prstGeom>
            </xdr:spPr>
            <xdr:style>
              <a:lnRef idx="1">
                <a:schemeClr val="dk1"/>
              </a:lnRef>
              <a:fillRef idx="2">
                <a:schemeClr val="dk1"/>
              </a:fillRef>
              <a:effectRef idx="1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fr-FR" sz="1100" b="1"/>
                  <a:t>Entrée</a:t>
                </a:r>
              </a:p>
            </xdr:txBody>
          </xdr:sp>
          <xdr:sp macro="" textlink="">
            <xdr:nvSpPr>
              <xdr:cNvPr id="68" name="Ellipse 67">
                <a:extLst>
                  <a:ext uri="{FF2B5EF4-FFF2-40B4-BE49-F238E27FC236}">
                    <a16:creationId xmlns:a16="http://schemas.microsoft.com/office/drawing/2014/main" id="{00000000-0008-0000-0C00-00002E010000}"/>
                  </a:ext>
                </a:extLst>
              </xdr:cNvPr>
              <xdr:cNvSpPr/>
            </xdr:nvSpPr>
            <xdr:spPr>
              <a:xfrm>
                <a:off x="4428253" y="4376939"/>
                <a:ext cx="1557942" cy="451834"/>
              </a:xfrm>
              <a:prstGeom prst="ellipse">
                <a:avLst/>
              </a:prstGeom>
            </xdr:spPr>
            <xdr:style>
              <a:lnRef idx="1">
                <a:schemeClr val="dk1"/>
              </a:lnRef>
              <a:fillRef idx="2">
                <a:schemeClr val="dk1"/>
              </a:fillRef>
              <a:effectRef idx="1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fr-FR" sz="1100" b="1"/>
                  <a:t>Processus</a:t>
                </a:r>
              </a:p>
            </xdr:txBody>
          </xdr:sp>
          <xdr:sp macro="" textlink="">
            <xdr:nvSpPr>
              <xdr:cNvPr id="69" name="Ellipse 68">
                <a:extLst>
                  <a:ext uri="{FF2B5EF4-FFF2-40B4-BE49-F238E27FC236}">
                    <a16:creationId xmlns:a16="http://schemas.microsoft.com/office/drawing/2014/main" id="{00000000-0008-0000-0C00-00002F010000}"/>
                  </a:ext>
                </a:extLst>
              </xdr:cNvPr>
              <xdr:cNvSpPr/>
            </xdr:nvSpPr>
            <xdr:spPr>
              <a:xfrm>
                <a:off x="6758022" y="4348364"/>
                <a:ext cx="1557941" cy="451834"/>
              </a:xfrm>
              <a:prstGeom prst="ellipse">
                <a:avLst/>
              </a:prstGeom>
            </xdr:spPr>
            <xdr:style>
              <a:lnRef idx="1">
                <a:schemeClr val="dk1"/>
              </a:lnRef>
              <a:fillRef idx="2">
                <a:schemeClr val="dk1"/>
              </a:fillRef>
              <a:effectRef idx="1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fr-FR" sz="1100" b="1"/>
                  <a:t>Sortie </a:t>
                </a:r>
              </a:p>
            </xdr:txBody>
          </xdr:sp>
          <xdr:sp macro="" textlink="">
            <xdr:nvSpPr>
              <xdr:cNvPr id="70" name="Ellipse 69">
                <a:extLst>
                  <a:ext uri="{FF2B5EF4-FFF2-40B4-BE49-F238E27FC236}">
                    <a16:creationId xmlns:a16="http://schemas.microsoft.com/office/drawing/2014/main" id="{00000000-0008-0000-0C00-000030010000}"/>
                  </a:ext>
                </a:extLst>
              </xdr:cNvPr>
              <xdr:cNvSpPr/>
            </xdr:nvSpPr>
            <xdr:spPr>
              <a:xfrm>
                <a:off x="9087789" y="4367414"/>
                <a:ext cx="1557941" cy="451834"/>
              </a:xfrm>
              <a:prstGeom prst="ellipse">
                <a:avLst/>
              </a:prstGeom>
            </xdr:spPr>
            <xdr:style>
              <a:lnRef idx="1">
                <a:schemeClr val="dk1"/>
              </a:lnRef>
              <a:fillRef idx="2">
                <a:schemeClr val="dk1"/>
              </a:fillRef>
              <a:effectRef idx="1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fr-FR" sz="1100" b="1"/>
                  <a:t>Client</a:t>
                </a:r>
              </a:p>
            </xdr:txBody>
          </xdr:sp>
          <xdr:sp macro="" textlink="">
            <xdr:nvSpPr>
              <xdr:cNvPr id="71" name="ZoneTexte 70">
                <a:extLst>
                  <a:ext uri="{FF2B5EF4-FFF2-40B4-BE49-F238E27FC236}">
                    <a16:creationId xmlns:a16="http://schemas.microsoft.com/office/drawing/2014/main" id="{00000000-0008-0000-0C00-000031010000}"/>
                  </a:ext>
                </a:extLst>
              </xdr:cNvPr>
              <xdr:cNvSpPr txBox="1"/>
            </xdr:nvSpPr>
            <xdr:spPr>
              <a:xfrm>
                <a:off x="1996091" y="5264377"/>
                <a:ext cx="1529366" cy="1044361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endParaRPr lang="fr-FR" sz="1100"/>
              </a:p>
              <a:p>
                <a:r>
                  <a:rPr lang="fr-FR" sz="1100"/>
                  <a:t> Soufflage Bleu / Noir + Charge</a:t>
                </a:r>
              </a:p>
              <a:p>
                <a:endParaRPr lang="fr-FR" sz="1100"/>
              </a:p>
            </xdr:txBody>
          </xdr:sp>
          <xdr:grpSp>
            <xdr:nvGrpSpPr>
              <xdr:cNvPr id="72" name="Groupe 71">
                <a:extLst>
                  <a:ext uri="{FF2B5EF4-FFF2-40B4-BE49-F238E27FC236}">
                    <a16:creationId xmlns:a16="http://schemas.microsoft.com/office/drawing/2014/main" id="{00000000-0008-0000-0C00-000032010000}"/>
                  </a:ext>
                </a:extLst>
              </xdr:cNvPr>
              <xdr:cNvGrpSpPr/>
            </xdr:nvGrpSpPr>
            <xdr:grpSpPr>
              <a:xfrm>
                <a:off x="4471114" y="4959439"/>
                <a:ext cx="1741945" cy="668611"/>
                <a:chOff x="4457700" y="5029199"/>
                <a:chExt cx="1735383" cy="676079"/>
              </a:xfrm>
            </xdr:grpSpPr>
            <xdr:sp macro="" textlink="">
              <xdr:nvSpPr>
                <xdr:cNvPr id="103" name="Rectangle 102">
                  <a:extLst>
                    <a:ext uri="{FF2B5EF4-FFF2-40B4-BE49-F238E27FC236}">
                      <a16:creationId xmlns:a16="http://schemas.microsoft.com/office/drawing/2014/main" id="{00000000-0008-0000-0C00-000057010000}"/>
                    </a:ext>
                  </a:extLst>
                </xdr:cNvPr>
                <xdr:cNvSpPr/>
              </xdr:nvSpPr>
              <xdr:spPr>
                <a:xfrm>
                  <a:off x="4457700" y="5029199"/>
                  <a:ext cx="1735383" cy="676079"/>
                </a:xfrm>
                <a:prstGeom prst="rect">
                  <a:avLst/>
                </a:prstGeom>
                <a:ln/>
              </xdr:spPr>
              <xdr:style>
                <a:lnRef idx="2">
                  <a:schemeClr val="accent1"/>
                </a:lnRef>
                <a:fillRef idx="1">
                  <a:schemeClr val="lt1"/>
                </a:fillRef>
                <a:effectRef idx="0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104" name="Losange 103">
                  <a:extLst>
                    <a:ext uri="{FF2B5EF4-FFF2-40B4-BE49-F238E27FC236}">
                      <a16:creationId xmlns:a16="http://schemas.microsoft.com/office/drawing/2014/main" id="{00000000-0008-0000-0C00-000058010000}"/>
                    </a:ext>
                  </a:extLst>
                </xdr:cNvPr>
                <xdr:cNvSpPr/>
              </xdr:nvSpPr>
              <xdr:spPr>
                <a:xfrm>
                  <a:off x="4481747" y="5038724"/>
                  <a:ext cx="1711334" cy="652791"/>
                </a:xfrm>
                <a:prstGeom prst="diamond">
                  <a:avLst/>
                </a:prstGeom>
                <a:ln/>
              </xdr:spPr>
              <xdr:style>
                <a:lnRef idx="2">
                  <a:schemeClr val="accent2"/>
                </a:lnRef>
                <a:fillRef idx="1">
                  <a:schemeClr val="lt1"/>
                </a:fillRef>
                <a:effectRef idx="0">
                  <a:schemeClr val="accent2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Mélangeur</a:t>
                  </a:r>
                </a:p>
              </xdr:txBody>
            </xdr:sp>
          </xdr:grpSp>
          <xdr:sp macro="" textlink="">
            <xdr:nvSpPr>
              <xdr:cNvPr id="73" name="Triangle isocèle 72">
                <a:extLst>
                  <a:ext uri="{FF2B5EF4-FFF2-40B4-BE49-F238E27FC236}">
                    <a16:creationId xmlns:a16="http://schemas.microsoft.com/office/drawing/2014/main" id="{00000000-0008-0000-0C00-000034010000}"/>
                  </a:ext>
                </a:extLst>
              </xdr:cNvPr>
              <xdr:cNvSpPr/>
            </xdr:nvSpPr>
            <xdr:spPr>
              <a:xfrm rot="10800000">
                <a:off x="4490527" y="5853166"/>
                <a:ext cx="1553273" cy="496412"/>
              </a:xfrm>
              <a:prstGeom prst="triangle">
                <a:avLst>
                  <a:gd name="adj" fmla="val 52418"/>
                </a:avLst>
              </a:prstGeom>
            </xdr:spPr>
            <xdr:style>
              <a:lnRef idx="2">
                <a:schemeClr val="accent4"/>
              </a:lnRef>
              <a:fillRef idx="1">
                <a:schemeClr val="lt1"/>
              </a:fillRef>
              <a:effectRef idx="0">
                <a:schemeClr val="accent4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grpSp>
            <xdr:nvGrpSpPr>
              <xdr:cNvPr id="74" name="Groupe 73">
                <a:extLst>
                  <a:ext uri="{FF2B5EF4-FFF2-40B4-BE49-F238E27FC236}">
                    <a16:creationId xmlns:a16="http://schemas.microsoft.com/office/drawing/2014/main" id="{00000000-0008-0000-0C00-000035010000}"/>
                  </a:ext>
                </a:extLst>
              </xdr:cNvPr>
              <xdr:cNvGrpSpPr/>
            </xdr:nvGrpSpPr>
            <xdr:grpSpPr>
              <a:xfrm>
                <a:off x="4688365" y="6621635"/>
                <a:ext cx="1310292" cy="328008"/>
                <a:chOff x="4731520" y="6524625"/>
                <a:chExt cx="1304925" cy="333375"/>
              </a:xfrm>
            </xdr:grpSpPr>
            <xdr:sp macro="" textlink="">
              <xdr:nvSpPr>
                <xdr:cNvPr id="101" name="Flèche : pentagone 340">
                  <a:extLst>
                    <a:ext uri="{FF2B5EF4-FFF2-40B4-BE49-F238E27FC236}">
                      <a16:creationId xmlns:a16="http://schemas.microsoft.com/office/drawing/2014/main" id="{00000000-0008-0000-0C00-000055010000}"/>
                    </a:ext>
                  </a:extLst>
                </xdr:cNvPr>
                <xdr:cNvSpPr/>
              </xdr:nvSpPr>
              <xdr:spPr>
                <a:xfrm>
                  <a:off x="4731520" y="6524625"/>
                  <a:ext cx="1304925" cy="333375"/>
                </a:xfrm>
                <a:prstGeom prst="homePlate">
                  <a:avLst/>
                </a:prstGeom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pic>
              <xdr:nvPicPr>
                <xdr:cNvPr id="102" name="Image 101">
                  <a:extLst>
                    <a:ext uri="{FF2B5EF4-FFF2-40B4-BE49-F238E27FC236}">
                      <a16:creationId xmlns:a16="http://schemas.microsoft.com/office/drawing/2014/main" id="{00000000-0008-0000-0C00-00005601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4"/>
                <a:stretch>
                  <a:fillRect/>
                </a:stretch>
              </xdr:blipFill>
              <xdr:spPr>
                <a:xfrm>
                  <a:off x="4997256" y="6591300"/>
                  <a:ext cx="725487" cy="238125"/>
                </a:xfrm>
                <a:prstGeom prst="rect">
                  <a:avLst/>
                </a:prstGeom>
              </xdr:spPr>
            </xdr:pic>
          </xdr:grpSp>
          <xdr:sp macro="" textlink="">
            <xdr:nvSpPr>
              <xdr:cNvPr id="75" name="Flèche : bas 309">
                <a:extLst>
                  <a:ext uri="{FF2B5EF4-FFF2-40B4-BE49-F238E27FC236}">
                    <a16:creationId xmlns:a16="http://schemas.microsoft.com/office/drawing/2014/main" id="{00000000-0008-0000-0C00-000036010000}"/>
                  </a:ext>
                </a:extLst>
              </xdr:cNvPr>
              <xdr:cNvSpPr/>
            </xdr:nvSpPr>
            <xdr:spPr>
              <a:xfrm>
                <a:off x="5187446" y="6368798"/>
                <a:ext cx="104775" cy="251809"/>
              </a:xfrm>
              <a:prstGeom prst="downArrow">
                <a:avLst/>
              </a:prstGeom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grpSp>
            <xdr:nvGrpSpPr>
              <xdr:cNvPr id="76" name="Groupe 75">
                <a:extLst>
                  <a:ext uri="{FF2B5EF4-FFF2-40B4-BE49-F238E27FC236}">
                    <a16:creationId xmlns:a16="http://schemas.microsoft.com/office/drawing/2014/main" id="{00000000-0008-0000-0C00-000037010000}"/>
                  </a:ext>
                </a:extLst>
              </xdr:cNvPr>
              <xdr:cNvGrpSpPr/>
            </xdr:nvGrpSpPr>
            <xdr:grpSpPr>
              <a:xfrm>
                <a:off x="4166316" y="7256732"/>
                <a:ext cx="2008300" cy="601552"/>
                <a:chOff x="4457700" y="5029200"/>
                <a:chExt cx="1419225" cy="476250"/>
              </a:xfrm>
            </xdr:grpSpPr>
            <xdr:sp macro="" textlink="">
              <xdr:nvSpPr>
                <xdr:cNvPr id="99" name="Rectangle 98">
                  <a:extLst>
                    <a:ext uri="{FF2B5EF4-FFF2-40B4-BE49-F238E27FC236}">
                      <a16:creationId xmlns:a16="http://schemas.microsoft.com/office/drawing/2014/main" id="{00000000-0008-0000-0C00-000053010000}"/>
                    </a:ext>
                  </a:extLst>
                </xdr:cNvPr>
                <xdr:cNvSpPr/>
              </xdr:nvSpPr>
              <xdr:spPr>
                <a:xfrm>
                  <a:off x="4457700" y="5029200"/>
                  <a:ext cx="1419225" cy="476250"/>
                </a:xfrm>
                <a:prstGeom prst="rect">
                  <a:avLst/>
                </a:prstGeom>
                <a:ln/>
              </xdr:spPr>
              <xdr:style>
                <a:lnRef idx="2">
                  <a:schemeClr val="accent1"/>
                </a:lnRef>
                <a:fillRef idx="1">
                  <a:schemeClr val="lt1"/>
                </a:fillRef>
                <a:effectRef idx="0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100" name="Losange 99">
                  <a:extLst>
                    <a:ext uri="{FF2B5EF4-FFF2-40B4-BE49-F238E27FC236}">
                      <a16:creationId xmlns:a16="http://schemas.microsoft.com/office/drawing/2014/main" id="{00000000-0008-0000-0C00-000054010000}"/>
                    </a:ext>
                  </a:extLst>
                </xdr:cNvPr>
                <xdr:cNvSpPr/>
              </xdr:nvSpPr>
              <xdr:spPr>
                <a:xfrm>
                  <a:off x="4495799" y="5038725"/>
                  <a:ext cx="1381125" cy="444401"/>
                </a:xfrm>
                <a:prstGeom prst="diamond">
                  <a:avLst/>
                </a:prstGeom>
                <a:ln/>
              </xdr:spPr>
              <xdr:style>
                <a:lnRef idx="2">
                  <a:schemeClr val="accent2"/>
                </a:lnRef>
                <a:fillRef idx="1">
                  <a:schemeClr val="lt1"/>
                </a:fillRef>
                <a:effectRef idx="0">
                  <a:schemeClr val="accent2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ctr"/>
                  <a:r>
                    <a:rPr lang="fr-FR" sz="900"/>
                    <a:t>Moulage</a:t>
                  </a:r>
                  <a:r>
                    <a:rPr lang="fr-FR" sz="900" baseline="0"/>
                    <a:t> </a:t>
                  </a:r>
                  <a:endParaRPr lang="fr-FR" sz="900"/>
                </a:p>
              </xdr:txBody>
            </xdr:sp>
          </xdr:grpSp>
          <xdr:grpSp>
            <xdr:nvGrpSpPr>
              <xdr:cNvPr id="77" name="Groupe 76">
                <a:extLst>
                  <a:ext uri="{FF2B5EF4-FFF2-40B4-BE49-F238E27FC236}">
                    <a16:creationId xmlns:a16="http://schemas.microsoft.com/office/drawing/2014/main" id="{00000000-0008-0000-0C00-000039010000}"/>
                  </a:ext>
                </a:extLst>
              </xdr:cNvPr>
              <xdr:cNvGrpSpPr/>
            </xdr:nvGrpSpPr>
            <xdr:grpSpPr>
              <a:xfrm>
                <a:off x="4523555" y="9805126"/>
                <a:ext cx="1310292" cy="330693"/>
                <a:chOff x="4591050" y="7306899"/>
                <a:chExt cx="1304925" cy="333375"/>
              </a:xfrm>
            </xdr:grpSpPr>
            <xdr:sp macro="" textlink="">
              <xdr:nvSpPr>
                <xdr:cNvPr id="97" name="Flèche : pentagone 336">
                  <a:extLst>
                    <a:ext uri="{FF2B5EF4-FFF2-40B4-BE49-F238E27FC236}">
                      <a16:creationId xmlns:a16="http://schemas.microsoft.com/office/drawing/2014/main" id="{00000000-0008-0000-0C00-000051010000}"/>
                    </a:ext>
                  </a:extLst>
                </xdr:cNvPr>
                <xdr:cNvSpPr/>
              </xdr:nvSpPr>
              <xdr:spPr>
                <a:xfrm>
                  <a:off x="4591050" y="7306899"/>
                  <a:ext cx="1304925" cy="333375"/>
                </a:xfrm>
                <a:prstGeom prst="homePlate">
                  <a:avLst/>
                </a:prstGeom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pic>
              <xdr:nvPicPr>
                <xdr:cNvPr id="98" name="Image 97">
                  <a:extLst>
                    <a:ext uri="{FF2B5EF4-FFF2-40B4-BE49-F238E27FC236}">
                      <a16:creationId xmlns:a16="http://schemas.microsoft.com/office/drawing/2014/main" id="{00000000-0008-0000-0C00-00005201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4"/>
                <a:stretch>
                  <a:fillRect/>
                </a:stretch>
              </xdr:blipFill>
              <xdr:spPr>
                <a:xfrm>
                  <a:off x="4800600" y="7359850"/>
                  <a:ext cx="725487" cy="238125"/>
                </a:xfrm>
                <a:prstGeom prst="rect">
                  <a:avLst/>
                </a:prstGeom>
              </xdr:spPr>
            </xdr:pic>
          </xdr:grpSp>
          <xdr:sp macro="" textlink="">
            <xdr:nvSpPr>
              <xdr:cNvPr id="78" name="Flèche : bas 313">
                <a:extLst>
                  <a:ext uri="{FF2B5EF4-FFF2-40B4-BE49-F238E27FC236}">
                    <a16:creationId xmlns:a16="http://schemas.microsoft.com/office/drawing/2014/main" id="{00000000-0008-0000-0C00-00003A010000}"/>
                  </a:ext>
                </a:extLst>
              </xdr:cNvPr>
              <xdr:cNvSpPr/>
            </xdr:nvSpPr>
            <xdr:spPr>
              <a:xfrm>
                <a:off x="5128198" y="7864635"/>
                <a:ext cx="104775" cy="251809"/>
              </a:xfrm>
              <a:prstGeom prst="downArrow">
                <a:avLst/>
              </a:prstGeom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79" name="Flèche : bas 314">
                <a:extLst>
                  <a:ext uri="{FF2B5EF4-FFF2-40B4-BE49-F238E27FC236}">
                    <a16:creationId xmlns:a16="http://schemas.microsoft.com/office/drawing/2014/main" id="{00000000-0008-0000-0C00-00003B010000}"/>
                  </a:ext>
                </a:extLst>
              </xdr:cNvPr>
              <xdr:cNvSpPr/>
            </xdr:nvSpPr>
            <xdr:spPr>
              <a:xfrm>
                <a:off x="5136781" y="8759575"/>
                <a:ext cx="104775" cy="254492"/>
              </a:xfrm>
              <a:prstGeom prst="downArrow">
                <a:avLst/>
              </a:prstGeom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grpSp>
            <xdr:nvGrpSpPr>
              <xdr:cNvPr id="80" name="Groupe 79">
                <a:extLst>
                  <a:ext uri="{FF2B5EF4-FFF2-40B4-BE49-F238E27FC236}">
                    <a16:creationId xmlns:a16="http://schemas.microsoft.com/office/drawing/2014/main" id="{00000000-0008-0000-0C00-00003D010000}"/>
                  </a:ext>
                </a:extLst>
              </xdr:cNvPr>
              <xdr:cNvGrpSpPr/>
            </xdr:nvGrpSpPr>
            <xdr:grpSpPr>
              <a:xfrm>
                <a:off x="3365501" y="5242205"/>
                <a:ext cx="1115735" cy="860564"/>
                <a:chOff x="3333672" y="5459316"/>
                <a:chExt cx="1108245" cy="900075"/>
              </a:xfrm>
            </xdr:grpSpPr>
            <xdr:cxnSp macro="">
              <xdr:nvCxnSpPr>
                <xdr:cNvPr id="95" name="Connecteur droit avec flèche 94">
                  <a:extLst>
                    <a:ext uri="{FF2B5EF4-FFF2-40B4-BE49-F238E27FC236}">
                      <a16:creationId xmlns:a16="http://schemas.microsoft.com/office/drawing/2014/main" id="{00000000-0008-0000-0C00-00004E010000}"/>
                    </a:ext>
                  </a:extLst>
                </xdr:cNvPr>
                <xdr:cNvCxnSpPr/>
              </xdr:nvCxnSpPr>
              <xdr:spPr>
                <a:xfrm>
                  <a:off x="3333672" y="5915370"/>
                  <a:ext cx="581611" cy="10946"/>
                </a:xfrm>
                <a:prstGeom prst="straightConnector1">
                  <a:avLst/>
                </a:prstGeom>
                <a:ln>
                  <a:prstDash val="lgDashDot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6" name="Connecteur : en angle 335">
                  <a:extLst>
                    <a:ext uri="{FF2B5EF4-FFF2-40B4-BE49-F238E27FC236}">
                      <a16:creationId xmlns:a16="http://schemas.microsoft.com/office/drawing/2014/main" id="{00000000-0008-0000-0C00-000050010000}"/>
                    </a:ext>
                  </a:extLst>
                </xdr:cNvPr>
                <xdr:cNvCxnSpPr/>
              </xdr:nvCxnSpPr>
              <xdr:spPr>
                <a:xfrm rot="5400000" flipH="1" flipV="1">
                  <a:off x="3698129" y="5615604"/>
                  <a:ext cx="900075" cy="587500"/>
                </a:xfrm>
                <a:prstGeom prst="bentConnector2">
                  <a:avLst/>
                </a:prstGeom>
                <a:ln>
                  <a:prstDash val="lgDashDot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81" name="Connecteur droit 80">
                <a:extLst>
                  <a:ext uri="{FF2B5EF4-FFF2-40B4-BE49-F238E27FC236}">
                    <a16:creationId xmlns:a16="http://schemas.microsoft.com/office/drawing/2014/main" id="{00000000-0008-0000-0C00-00003E010000}"/>
                  </a:ext>
                </a:extLst>
              </xdr:cNvPr>
              <xdr:cNvCxnSpPr/>
            </xdr:nvCxnSpPr>
            <xdr:spPr>
              <a:xfrm flipH="1">
                <a:off x="3970986" y="4551399"/>
                <a:ext cx="5704" cy="5248246"/>
              </a:xfrm>
              <a:prstGeom prst="line">
                <a:avLst/>
              </a:prstGeom>
              <a:ln>
                <a:prstDash val="lg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2" name="Connecteur droit 81">
                <a:extLst>
                  <a:ext uri="{FF2B5EF4-FFF2-40B4-BE49-F238E27FC236}">
                    <a16:creationId xmlns:a16="http://schemas.microsoft.com/office/drawing/2014/main" id="{00000000-0008-0000-0C00-00003F010000}"/>
                  </a:ext>
                </a:extLst>
              </xdr:cNvPr>
              <xdr:cNvCxnSpPr/>
            </xdr:nvCxnSpPr>
            <xdr:spPr>
              <a:xfrm flipV="1">
                <a:off x="1868762" y="7047760"/>
                <a:ext cx="9329474" cy="21898"/>
              </a:xfrm>
              <a:prstGeom prst="line">
                <a:avLst/>
              </a:prstGeom>
              <a:ln>
                <a:prstDash val="lg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3" name="Triangle isocèle 82">
                <a:extLst>
                  <a:ext uri="{FF2B5EF4-FFF2-40B4-BE49-F238E27FC236}">
                    <a16:creationId xmlns:a16="http://schemas.microsoft.com/office/drawing/2014/main" id="{00000000-0008-0000-0C00-00003C010000}"/>
                  </a:ext>
                </a:extLst>
              </xdr:cNvPr>
              <xdr:cNvSpPr/>
            </xdr:nvSpPr>
            <xdr:spPr>
              <a:xfrm rot="10800000">
                <a:off x="4509215" y="9039954"/>
                <a:ext cx="1338866" cy="572974"/>
              </a:xfrm>
              <a:prstGeom prst="triangle">
                <a:avLst>
                  <a:gd name="adj" fmla="val 49694"/>
                </a:avLst>
              </a:prstGeom>
            </xdr:spPr>
            <xdr:style>
              <a:lnRef idx="2">
                <a:schemeClr val="accent4"/>
              </a:lnRef>
              <a:fillRef idx="1">
                <a:schemeClr val="lt1"/>
              </a:fillRef>
              <a:effectRef idx="0">
                <a:schemeClr val="accent4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fr-FR" sz="1100"/>
                  <a:t>   </a:t>
                </a:r>
              </a:p>
            </xdr:txBody>
          </xdr:sp>
          <xdr:cxnSp macro="">
            <xdr:nvCxnSpPr>
              <xdr:cNvPr id="84" name="Connecteur droit 83">
                <a:extLst>
                  <a:ext uri="{FF2B5EF4-FFF2-40B4-BE49-F238E27FC236}">
                    <a16:creationId xmlns:a16="http://schemas.microsoft.com/office/drawing/2014/main" id="{00000000-0008-0000-0C00-000040010000}"/>
                  </a:ext>
                </a:extLst>
              </xdr:cNvPr>
              <xdr:cNvCxnSpPr/>
            </xdr:nvCxnSpPr>
            <xdr:spPr>
              <a:xfrm flipH="1">
                <a:off x="6439437" y="4429272"/>
                <a:ext cx="28373" cy="5248246"/>
              </a:xfrm>
              <a:prstGeom prst="line">
                <a:avLst/>
              </a:prstGeom>
              <a:ln>
                <a:prstDash val="lg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5" name="Connecteur droit 84">
                <a:extLst>
                  <a:ext uri="{FF2B5EF4-FFF2-40B4-BE49-F238E27FC236}">
                    <a16:creationId xmlns:a16="http://schemas.microsoft.com/office/drawing/2014/main" id="{00000000-0008-0000-0C00-000041010000}"/>
                  </a:ext>
                </a:extLst>
              </xdr:cNvPr>
              <xdr:cNvCxnSpPr/>
            </xdr:nvCxnSpPr>
            <xdr:spPr>
              <a:xfrm>
                <a:off x="8663324" y="4451170"/>
                <a:ext cx="16500" cy="5248246"/>
              </a:xfrm>
              <a:prstGeom prst="line">
                <a:avLst/>
              </a:prstGeom>
              <a:ln>
                <a:prstDash val="lg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6" name="ZoneTexte 85">
                <a:extLst>
                  <a:ext uri="{FF2B5EF4-FFF2-40B4-BE49-F238E27FC236}">
                    <a16:creationId xmlns:a16="http://schemas.microsoft.com/office/drawing/2014/main" id="{00000000-0008-0000-0C00-000043010000}"/>
                  </a:ext>
                </a:extLst>
              </xdr:cNvPr>
              <xdr:cNvSpPr txBox="1"/>
            </xdr:nvSpPr>
            <xdr:spPr>
              <a:xfrm>
                <a:off x="6763415" y="5224328"/>
                <a:ext cx="1878013" cy="110500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100"/>
                  <a:t>Mélange Souffalge Bleu/Noir</a:t>
                </a:r>
              </a:p>
              <a:p>
                <a:r>
                  <a:rPr lang="fr-FR" sz="1100" baseline="0"/>
                  <a:t>       + Carborates de Calcium</a:t>
                </a:r>
              </a:p>
              <a:p>
                <a:endParaRPr lang="fr-FR" sz="1100" baseline="0"/>
              </a:p>
              <a:p>
                <a:endParaRPr lang="fr-FR" sz="1100" baseline="0"/>
              </a:p>
              <a:p>
                <a:endParaRPr lang="fr-FR" sz="1100"/>
              </a:p>
              <a:p>
                <a:endParaRPr lang="fr-FR" sz="1100"/>
              </a:p>
              <a:p>
                <a:endParaRPr lang="fr-FR" sz="1100"/>
              </a:p>
            </xdr:txBody>
          </xdr:sp>
          <xdr:sp macro="" textlink="">
            <xdr:nvSpPr>
              <xdr:cNvPr id="87" name="ZoneTexte 86">
                <a:extLst>
                  <a:ext uri="{FF2B5EF4-FFF2-40B4-BE49-F238E27FC236}">
                    <a16:creationId xmlns:a16="http://schemas.microsoft.com/office/drawing/2014/main" id="{00000000-0008-0000-0C00-000044010000}"/>
                  </a:ext>
                </a:extLst>
              </xdr:cNvPr>
              <xdr:cNvSpPr txBox="1"/>
            </xdr:nvSpPr>
            <xdr:spPr>
              <a:xfrm>
                <a:off x="6708673" y="7346755"/>
                <a:ext cx="1529365" cy="138369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endParaRPr lang="fr-FR" sz="1100"/>
              </a:p>
              <a:p>
                <a:endParaRPr lang="fr-FR" sz="1100"/>
              </a:p>
              <a:p>
                <a:pPr algn="ctr"/>
                <a:endParaRPr lang="fr-FR" sz="1100"/>
              </a:p>
              <a:p>
                <a:pPr algn="ctr"/>
                <a:r>
                  <a:rPr lang="fr-FR" sz="1100"/>
                  <a:t>Tubes PEHD de </a:t>
                </a:r>
              </a:p>
              <a:p>
                <a:pPr algn="ctr"/>
                <a:r>
                  <a:rPr lang="fr-FR" sz="1100"/>
                  <a:t>200 mm - 600 mm</a:t>
                </a:r>
              </a:p>
              <a:p>
                <a:endParaRPr lang="fr-FR" sz="1100"/>
              </a:p>
              <a:p>
                <a:endParaRPr lang="fr-FR" sz="1100"/>
              </a:p>
              <a:p>
                <a:endParaRPr lang="fr-FR" sz="1100"/>
              </a:p>
            </xdr:txBody>
          </xdr:sp>
          <xdr:sp macro="" textlink="">
            <xdr:nvSpPr>
              <xdr:cNvPr id="88" name="ZoneTexte 87">
                <a:extLst>
                  <a:ext uri="{FF2B5EF4-FFF2-40B4-BE49-F238E27FC236}">
                    <a16:creationId xmlns:a16="http://schemas.microsoft.com/office/drawing/2014/main" id="{00000000-0008-0000-0C00-000045010000}"/>
                  </a:ext>
                </a:extLst>
              </xdr:cNvPr>
              <xdr:cNvSpPr txBox="1"/>
            </xdr:nvSpPr>
            <xdr:spPr>
              <a:xfrm>
                <a:off x="2043935" y="7301267"/>
                <a:ext cx="1529366" cy="1385388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endParaRPr lang="fr-FR" sz="1100"/>
              </a:p>
              <a:p>
                <a:endParaRPr lang="fr-FR" sz="1100"/>
              </a:p>
              <a:p>
                <a:endParaRPr lang="fr-FR" sz="1100"/>
              </a:p>
              <a:p>
                <a:r>
                  <a:rPr lang="fr-FR" sz="1100"/>
                  <a:t>Mélange Soufflage Bleu/Noir + charge</a:t>
                </a:r>
              </a:p>
              <a:p>
                <a:endParaRPr lang="fr-FR" sz="1100"/>
              </a:p>
            </xdr:txBody>
          </xdr:sp>
          <xdr:sp macro="" textlink="">
            <xdr:nvSpPr>
              <xdr:cNvPr id="89" name="ZoneTexte 88">
                <a:extLst>
                  <a:ext uri="{FF2B5EF4-FFF2-40B4-BE49-F238E27FC236}">
                    <a16:creationId xmlns:a16="http://schemas.microsoft.com/office/drawing/2014/main" id="{00000000-0008-0000-0C00-000046010000}"/>
                  </a:ext>
                </a:extLst>
              </xdr:cNvPr>
              <xdr:cNvSpPr txBox="1"/>
            </xdr:nvSpPr>
            <xdr:spPr>
              <a:xfrm>
                <a:off x="9068411" y="5158642"/>
                <a:ext cx="1878013" cy="110500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fr-FR" sz="1100" baseline="0"/>
                  <a:t>Machine DP</a:t>
                </a:r>
              </a:p>
              <a:p>
                <a:endParaRPr lang="fr-FR" sz="1100" baseline="0"/>
              </a:p>
              <a:p>
                <a:endParaRPr lang="fr-FR" sz="1100" baseline="0"/>
              </a:p>
              <a:p>
                <a:endParaRPr lang="fr-FR" sz="1100"/>
              </a:p>
              <a:p>
                <a:endParaRPr lang="fr-FR" sz="1100"/>
              </a:p>
              <a:p>
                <a:endParaRPr lang="fr-FR" sz="1100"/>
              </a:p>
            </xdr:txBody>
          </xdr:sp>
          <xdr:sp macro="" textlink="">
            <xdr:nvSpPr>
              <xdr:cNvPr id="90" name="ZoneTexte 89">
                <a:extLst>
                  <a:ext uri="{FF2B5EF4-FFF2-40B4-BE49-F238E27FC236}">
                    <a16:creationId xmlns:a16="http://schemas.microsoft.com/office/drawing/2014/main" id="{00000000-0008-0000-0C00-000047010000}"/>
                  </a:ext>
                </a:extLst>
              </xdr:cNvPr>
              <xdr:cNvSpPr txBox="1"/>
            </xdr:nvSpPr>
            <xdr:spPr>
              <a:xfrm>
                <a:off x="9024617" y="7665666"/>
                <a:ext cx="1878013" cy="78042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endParaRPr lang="fr-FR" sz="1100"/>
              </a:p>
              <a:p>
                <a:endParaRPr lang="fr-FR" sz="1100"/>
              </a:p>
              <a:p>
                <a:pPr algn="ctr"/>
                <a:r>
                  <a:rPr lang="fr-FR" sz="1100"/>
                  <a:t>Zone d'éxpédition</a:t>
                </a:r>
              </a:p>
              <a:p>
                <a:endParaRPr lang="fr-FR" sz="1100" baseline="0"/>
              </a:p>
              <a:p>
                <a:endParaRPr lang="fr-FR" sz="1100" baseline="0"/>
              </a:p>
              <a:p>
                <a:endParaRPr lang="fr-FR" sz="1100" baseline="0"/>
              </a:p>
              <a:p>
                <a:endParaRPr lang="fr-FR" sz="1100" baseline="0"/>
              </a:p>
              <a:p>
                <a:endParaRPr lang="fr-FR" sz="1100"/>
              </a:p>
              <a:p>
                <a:endParaRPr lang="fr-FR" sz="1100"/>
              </a:p>
              <a:p>
                <a:endParaRPr lang="fr-FR" sz="1100"/>
              </a:p>
            </xdr:txBody>
          </xdr:sp>
          <xdr:grpSp>
            <xdr:nvGrpSpPr>
              <xdr:cNvPr id="91" name="Groupe 90">
                <a:extLst>
                  <a:ext uri="{FF2B5EF4-FFF2-40B4-BE49-F238E27FC236}">
                    <a16:creationId xmlns:a16="http://schemas.microsoft.com/office/drawing/2014/main" id="{00000000-0008-0000-0C00-000048010000}"/>
                  </a:ext>
                </a:extLst>
              </xdr:cNvPr>
              <xdr:cNvGrpSpPr/>
            </xdr:nvGrpSpPr>
            <xdr:grpSpPr>
              <a:xfrm>
                <a:off x="3082918" y="7547022"/>
                <a:ext cx="1151626" cy="868466"/>
                <a:chOff x="3333672" y="5373890"/>
                <a:chExt cx="1136266" cy="900075"/>
              </a:xfrm>
            </xdr:grpSpPr>
            <xdr:cxnSp macro="">
              <xdr:nvCxnSpPr>
                <xdr:cNvPr id="93" name="Connecteur droit avec flèche 92">
                  <a:extLst>
                    <a:ext uri="{FF2B5EF4-FFF2-40B4-BE49-F238E27FC236}">
                      <a16:creationId xmlns:a16="http://schemas.microsoft.com/office/drawing/2014/main" id="{00000000-0008-0000-0C00-00004A010000}"/>
                    </a:ext>
                  </a:extLst>
                </xdr:cNvPr>
                <xdr:cNvCxnSpPr/>
              </xdr:nvCxnSpPr>
              <xdr:spPr>
                <a:xfrm>
                  <a:off x="3333672" y="5771842"/>
                  <a:ext cx="581611" cy="10946"/>
                </a:xfrm>
                <a:prstGeom prst="straightConnector1">
                  <a:avLst/>
                </a:prstGeom>
                <a:ln>
                  <a:prstDash val="lgDashDot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4" name="Connecteur : en angle 331">
                  <a:extLst>
                    <a:ext uri="{FF2B5EF4-FFF2-40B4-BE49-F238E27FC236}">
                      <a16:creationId xmlns:a16="http://schemas.microsoft.com/office/drawing/2014/main" id="{00000000-0008-0000-0C00-00004C010000}"/>
                    </a:ext>
                  </a:extLst>
                </xdr:cNvPr>
                <xdr:cNvCxnSpPr/>
              </xdr:nvCxnSpPr>
              <xdr:spPr>
                <a:xfrm rot="5400000" flipH="1" flipV="1">
                  <a:off x="3726150" y="5530178"/>
                  <a:ext cx="900075" cy="587500"/>
                </a:xfrm>
                <a:prstGeom prst="bentConnector2">
                  <a:avLst/>
                </a:prstGeom>
                <a:ln>
                  <a:prstDash val="lgDashDot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sp macro="" textlink="">
            <xdr:nvSpPr>
              <xdr:cNvPr id="92" name="Flèche : bas 311">
                <a:extLst>
                  <a:ext uri="{FF2B5EF4-FFF2-40B4-BE49-F238E27FC236}">
                    <a16:creationId xmlns:a16="http://schemas.microsoft.com/office/drawing/2014/main" id="{00000000-0008-0000-0C00-000038010000}"/>
                  </a:ext>
                </a:extLst>
              </xdr:cNvPr>
              <xdr:cNvSpPr/>
            </xdr:nvSpPr>
            <xdr:spPr>
              <a:xfrm>
                <a:off x="5150074" y="6969753"/>
                <a:ext cx="104775" cy="254492"/>
              </a:xfrm>
              <a:prstGeom prst="downArrow">
                <a:avLst/>
              </a:prstGeom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65" name="ZoneTexte 64">
              <a:extLst>
                <a:ext uri="{FF2B5EF4-FFF2-40B4-BE49-F238E27FC236}">
                  <a16:creationId xmlns:a16="http://schemas.microsoft.com/office/drawing/2014/main" id="{00000000-0008-0000-0C00-000018010000}"/>
                </a:ext>
              </a:extLst>
            </xdr:cNvPr>
            <xdr:cNvSpPr txBox="1"/>
          </xdr:nvSpPr>
          <xdr:spPr>
            <a:xfrm>
              <a:off x="5048363" y="5931237"/>
              <a:ext cx="529977" cy="24136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100"/>
                <a:t>Stock</a:t>
              </a:r>
            </a:p>
          </xdr:txBody>
        </xdr:sp>
      </xdr:grpSp>
      <xdr:sp macro="" textlink="">
        <xdr:nvSpPr>
          <xdr:cNvPr id="63" name="ZoneTexte 62">
            <a:extLst>
              <a:ext uri="{FF2B5EF4-FFF2-40B4-BE49-F238E27FC236}">
                <a16:creationId xmlns:a16="http://schemas.microsoft.com/office/drawing/2014/main" id="{00000000-0008-0000-0C00-000016010000}"/>
              </a:ext>
            </a:extLst>
          </xdr:cNvPr>
          <xdr:cNvSpPr txBox="1"/>
        </xdr:nvSpPr>
        <xdr:spPr>
          <a:xfrm>
            <a:off x="4887202" y="9164979"/>
            <a:ext cx="563497" cy="2204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/>
              <a:t>Stock</a:t>
            </a:r>
          </a:p>
        </xdr:txBody>
      </xdr:sp>
    </xdr:grpSp>
    <xdr:clientData/>
  </xdr:twoCellAnchor>
  <xdr:twoCellAnchor>
    <xdr:from>
      <xdr:col>18</xdr:col>
      <xdr:colOff>476250</xdr:colOff>
      <xdr:row>24</xdr:row>
      <xdr:rowOff>95250</xdr:rowOff>
    </xdr:from>
    <xdr:to>
      <xdr:col>23</xdr:col>
      <xdr:colOff>127447</xdr:colOff>
      <xdr:row>28</xdr:row>
      <xdr:rowOff>19610</xdr:rowOff>
    </xdr:to>
    <xdr:sp macro="" textlink="">
      <xdr:nvSpPr>
        <xdr:cNvPr id="105" name="ZoneTexte 104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4192250" y="4667250"/>
          <a:ext cx="3461197" cy="686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/>
            <a:t>A ce stade la MP constituée de soufflage Bleu ou Noir et la charge se mélange à l'aide d'un mélangeur.</a:t>
          </a:r>
        </a:p>
      </xdr:txBody>
    </xdr:sp>
    <xdr:clientData/>
  </xdr:twoCellAnchor>
  <xdr:twoCellAnchor>
    <xdr:from>
      <xdr:col>8</xdr:col>
      <xdr:colOff>421821</xdr:colOff>
      <xdr:row>47</xdr:row>
      <xdr:rowOff>81643</xdr:rowOff>
    </xdr:from>
    <xdr:to>
      <xdr:col>11</xdr:col>
      <xdr:colOff>217713</xdr:colOff>
      <xdr:row>49</xdr:row>
      <xdr:rowOff>108857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6517821" y="9035143"/>
          <a:ext cx="2081892" cy="408214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PEHD Ligne Bleue</a:t>
          </a:r>
          <a:endParaRPr lang="fr-FR" sz="600" b="1"/>
        </a:p>
      </xdr:txBody>
    </xdr:sp>
    <xdr:clientData/>
  </xdr:twoCellAnchor>
  <xdr:twoCellAnchor>
    <xdr:from>
      <xdr:col>5</xdr:col>
      <xdr:colOff>81643</xdr:colOff>
      <xdr:row>50</xdr:row>
      <xdr:rowOff>122464</xdr:rowOff>
    </xdr:from>
    <xdr:to>
      <xdr:col>16</xdr:col>
      <xdr:colOff>676314</xdr:colOff>
      <xdr:row>67</xdr:row>
      <xdr:rowOff>66043</xdr:rowOff>
    </xdr:to>
    <xdr:grpSp>
      <xdr:nvGrpSpPr>
        <xdr:cNvPr id="121" name="Groupe 120"/>
        <xdr:cNvGrpSpPr/>
      </xdr:nvGrpSpPr>
      <xdr:grpSpPr>
        <a:xfrm>
          <a:off x="3891643" y="9647464"/>
          <a:ext cx="8976671" cy="3182079"/>
          <a:chOff x="2530929" y="11416392"/>
          <a:chExt cx="8976671" cy="3182079"/>
        </a:xfrm>
      </xdr:grpSpPr>
      <xdr:sp macro="" textlink="">
        <xdr:nvSpPr>
          <xdr:cNvPr id="122" name="Ellipse 121">
            <a:extLst>
              <a:ext uri="{FF2B5EF4-FFF2-40B4-BE49-F238E27FC236}">
                <a16:creationId xmlns:a16="http://schemas.microsoft.com/office/drawing/2014/main" id="{00000000-0008-0000-0C00-00002D010000}"/>
              </a:ext>
            </a:extLst>
          </xdr:cNvPr>
          <xdr:cNvSpPr/>
        </xdr:nvSpPr>
        <xdr:spPr>
          <a:xfrm>
            <a:off x="2530929" y="11443607"/>
            <a:ext cx="1547171" cy="464900"/>
          </a:xfrm>
          <a:prstGeom prst="ellipse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 b="1"/>
              <a:t>Entrée</a:t>
            </a:r>
          </a:p>
        </xdr:txBody>
      </xdr:sp>
      <xdr:cxnSp macro="">
        <xdr:nvCxnSpPr>
          <xdr:cNvPr id="123" name="Connecteur droit avec flèche 122">
            <a:extLst>
              <a:ext uri="{FF2B5EF4-FFF2-40B4-BE49-F238E27FC236}">
                <a16:creationId xmlns:a16="http://schemas.microsoft.com/office/drawing/2014/main" id="{00000000-0008-0000-0C00-00004A010000}"/>
              </a:ext>
            </a:extLst>
          </xdr:cNvPr>
          <xdr:cNvCxnSpPr/>
        </xdr:nvCxnSpPr>
        <xdr:spPr>
          <a:xfrm>
            <a:off x="3646714" y="12981214"/>
            <a:ext cx="734786" cy="0"/>
          </a:xfrm>
          <a:prstGeom prst="straightConnector1">
            <a:avLst/>
          </a:prstGeom>
          <a:ln>
            <a:prstDash val="lgDashDot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Connecteur droit 123">
            <a:extLst>
              <a:ext uri="{FF2B5EF4-FFF2-40B4-BE49-F238E27FC236}">
                <a16:creationId xmlns:a16="http://schemas.microsoft.com/office/drawing/2014/main" id="{00000000-0008-0000-0C00-00003E010000}"/>
              </a:ext>
            </a:extLst>
          </xdr:cNvPr>
          <xdr:cNvCxnSpPr/>
        </xdr:nvCxnSpPr>
        <xdr:spPr>
          <a:xfrm flipH="1">
            <a:off x="4585608" y="11661322"/>
            <a:ext cx="5665" cy="2879999"/>
          </a:xfrm>
          <a:prstGeom prst="line">
            <a:avLst/>
          </a:prstGeom>
          <a:ln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Connecteur : en angle 331">
            <a:extLst>
              <a:ext uri="{FF2B5EF4-FFF2-40B4-BE49-F238E27FC236}">
                <a16:creationId xmlns:a16="http://schemas.microsoft.com/office/drawing/2014/main" id="{00000000-0008-0000-0C00-00004C010000}"/>
              </a:ext>
            </a:extLst>
          </xdr:cNvPr>
          <xdr:cNvCxnSpPr/>
        </xdr:nvCxnSpPr>
        <xdr:spPr>
          <a:xfrm rot="5400000" flipH="1" flipV="1">
            <a:off x="4505412" y="12231374"/>
            <a:ext cx="591326" cy="893578"/>
          </a:xfrm>
          <a:prstGeom prst="bentConnector2">
            <a:avLst/>
          </a:prstGeom>
          <a:ln>
            <a:prstDash val="lgDashDot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6" name="Ellipse 125">
            <a:extLst>
              <a:ext uri="{FF2B5EF4-FFF2-40B4-BE49-F238E27FC236}">
                <a16:creationId xmlns:a16="http://schemas.microsoft.com/office/drawing/2014/main" id="{00000000-0008-0000-0C00-00002E010000}"/>
              </a:ext>
            </a:extLst>
          </xdr:cNvPr>
          <xdr:cNvSpPr/>
        </xdr:nvSpPr>
        <xdr:spPr>
          <a:xfrm>
            <a:off x="5374821" y="11470821"/>
            <a:ext cx="1547172" cy="464900"/>
          </a:xfrm>
          <a:prstGeom prst="ellipse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 b="1"/>
              <a:t>Processus</a:t>
            </a:r>
          </a:p>
        </xdr:txBody>
      </xdr:sp>
      <xdr:sp macro="" textlink="">
        <xdr:nvSpPr>
          <xdr:cNvPr id="127" name="Losange 126">
            <a:extLst>
              <a:ext uri="{FF2B5EF4-FFF2-40B4-BE49-F238E27FC236}">
                <a16:creationId xmlns:a16="http://schemas.microsoft.com/office/drawing/2014/main" id="{00000000-0008-0000-0C00-000054010000}"/>
              </a:ext>
            </a:extLst>
          </xdr:cNvPr>
          <xdr:cNvSpPr/>
        </xdr:nvSpPr>
        <xdr:spPr>
          <a:xfrm>
            <a:off x="5238750" y="12123964"/>
            <a:ext cx="1940876" cy="577554"/>
          </a:xfrm>
          <a:prstGeom prst="diamond">
            <a:avLst/>
          </a:prstGeom>
          <a:ln/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900"/>
              <a:t>Moulage</a:t>
            </a:r>
            <a:r>
              <a:rPr lang="fr-FR" sz="900" baseline="0"/>
              <a:t> </a:t>
            </a:r>
            <a:endParaRPr lang="fr-FR" sz="900"/>
          </a:p>
        </xdr:txBody>
      </xdr:sp>
      <xdr:sp macro="" textlink="">
        <xdr:nvSpPr>
          <xdr:cNvPr id="128" name="Losange 127">
            <a:extLst>
              <a:ext uri="{FF2B5EF4-FFF2-40B4-BE49-F238E27FC236}">
                <a16:creationId xmlns:a16="http://schemas.microsoft.com/office/drawing/2014/main" id="{00000000-0008-0000-0C00-000054010000}"/>
              </a:ext>
            </a:extLst>
          </xdr:cNvPr>
          <xdr:cNvSpPr/>
        </xdr:nvSpPr>
        <xdr:spPr>
          <a:xfrm>
            <a:off x="5197929" y="13076465"/>
            <a:ext cx="1940876" cy="577554"/>
          </a:xfrm>
          <a:prstGeom prst="diamond">
            <a:avLst/>
          </a:prstGeom>
          <a:ln/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900"/>
              <a:t>Roulement</a:t>
            </a:r>
            <a:r>
              <a:rPr lang="fr-FR" sz="900" baseline="0"/>
              <a:t> </a:t>
            </a:r>
            <a:endParaRPr lang="fr-FR" sz="900"/>
          </a:p>
        </xdr:txBody>
      </xdr:sp>
      <xdr:sp macro="" textlink="">
        <xdr:nvSpPr>
          <xdr:cNvPr id="129" name="Flèche : bas 314">
            <a:extLst>
              <a:ext uri="{FF2B5EF4-FFF2-40B4-BE49-F238E27FC236}">
                <a16:creationId xmlns:a16="http://schemas.microsoft.com/office/drawing/2014/main" id="{00000000-0008-0000-0C00-00003B010000}"/>
              </a:ext>
            </a:extLst>
          </xdr:cNvPr>
          <xdr:cNvSpPr/>
        </xdr:nvSpPr>
        <xdr:spPr>
          <a:xfrm>
            <a:off x="6139543" y="13677900"/>
            <a:ext cx="104051" cy="271376"/>
          </a:xfrm>
          <a:prstGeom prst="downArrow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0" name="Flèche : pentagone 336">
            <a:extLst>
              <a:ext uri="{FF2B5EF4-FFF2-40B4-BE49-F238E27FC236}">
                <a16:creationId xmlns:a16="http://schemas.microsoft.com/office/drawing/2014/main" id="{00000000-0008-0000-0C00-000051010000}"/>
              </a:ext>
            </a:extLst>
          </xdr:cNvPr>
          <xdr:cNvSpPr/>
        </xdr:nvSpPr>
        <xdr:spPr>
          <a:xfrm>
            <a:off x="5701393" y="14001750"/>
            <a:ext cx="1301234" cy="536357"/>
          </a:xfrm>
          <a:prstGeom prst="homePlat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 b="1"/>
              <a:t>Transport</a:t>
            </a:r>
          </a:p>
        </xdr:txBody>
      </xdr:sp>
      <xdr:cxnSp macro="">
        <xdr:nvCxnSpPr>
          <xdr:cNvPr id="131" name="Connecteur droit 130">
            <a:extLst>
              <a:ext uri="{FF2B5EF4-FFF2-40B4-BE49-F238E27FC236}">
                <a16:creationId xmlns:a16="http://schemas.microsoft.com/office/drawing/2014/main" id="{00000000-0008-0000-0C00-00003E010000}"/>
              </a:ext>
            </a:extLst>
          </xdr:cNvPr>
          <xdr:cNvCxnSpPr/>
        </xdr:nvCxnSpPr>
        <xdr:spPr>
          <a:xfrm flipH="1">
            <a:off x="7336973" y="11718472"/>
            <a:ext cx="5665" cy="2879999"/>
          </a:xfrm>
          <a:prstGeom prst="line">
            <a:avLst/>
          </a:prstGeom>
          <a:ln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2" name="Ellipse 131">
            <a:extLst>
              <a:ext uri="{FF2B5EF4-FFF2-40B4-BE49-F238E27FC236}">
                <a16:creationId xmlns:a16="http://schemas.microsoft.com/office/drawing/2014/main" id="{00000000-0008-0000-0C00-00002F010000}"/>
              </a:ext>
            </a:extLst>
          </xdr:cNvPr>
          <xdr:cNvSpPr/>
        </xdr:nvSpPr>
        <xdr:spPr>
          <a:xfrm>
            <a:off x="7728857" y="11416392"/>
            <a:ext cx="1547171" cy="464900"/>
          </a:xfrm>
          <a:prstGeom prst="ellipse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 b="1"/>
              <a:t>Sortie </a:t>
            </a:r>
          </a:p>
        </xdr:txBody>
      </xdr:sp>
      <xdr:cxnSp macro="">
        <xdr:nvCxnSpPr>
          <xdr:cNvPr id="133" name="Connecteur droit 132">
            <a:extLst>
              <a:ext uri="{FF2B5EF4-FFF2-40B4-BE49-F238E27FC236}">
                <a16:creationId xmlns:a16="http://schemas.microsoft.com/office/drawing/2014/main" id="{00000000-0008-0000-0C00-00003E010000}"/>
              </a:ext>
            </a:extLst>
          </xdr:cNvPr>
          <xdr:cNvCxnSpPr/>
        </xdr:nvCxnSpPr>
        <xdr:spPr>
          <a:xfrm flipH="1">
            <a:off x="9639302" y="11680372"/>
            <a:ext cx="5665" cy="2879999"/>
          </a:xfrm>
          <a:prstGeom prst="line">
            <a:avLst/>
          </a:prstGeom>
          <a:ln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4" name="Ellipse 133">
            <a:extLst>
              <a:ext uri="{FF2B5EF4-FFF2-40B4-BE49-F238E27FC236}">
                <a16:creationId xmlns:a16="http://schemas.microsoft.com/office/drawing/2014/main" id="{00000000-0008-0000-0C00-000030010000}"/>
              </a:ext>
            </a:extLst>
          </xdr:cNvPr>
          <xdr:cNvSpPr/>
        </xdr:nvSpPr>
        <xdr:spPr>
          <a:xfrm>
            <a:off x="9960429" y="11443607"/>
            <a:ext cx="1547171" cy="464900"/>
          </a:xfrm>
          <a:prstGeom prst="ellipse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100" b="1"/>
              <a:t>Client</a:t>
            </a:r>
          </a:p>
        </xdr:txBody>
      </xdr:sp>
    </xdr:grpSp>
    <xdr:clientData/>
  </xdr:twoCellAnchor>
  <xdr:twoCellAnchor>
    <xdr:from>
      <xdr:col>15</xdr:col>
      <xdr:colOff>0</xdr:colOff>
      <xdr:row>58</xdr:row>
      <xdr:rowOff>0</xdr:rowOff>
    </xdr:from>
    <xdr:to>
      <xdr:col>17</xdr:col>
      <xdr:colOff>341030</xdr:colOff>
      <xdr:row>62</xdr:row>
      <xdr:rowOff>40991</xdr:rowOff>
    </xdr:to>
    <xdr:sp macro="" textlink="">
      <xdr:nvSpPr>
        <xdr:cNvPr id="135" name="ZoneTexte 134">
          <a:extLst>
            <a:ext uri="{FF2B5EF4-FFF2-40B4-BE49-F238E27FC236}">
              <a16:creationId xmlns:a16="http://schemas.microsoft.com/office/drawing/2014/main" id="{00000000-0008-0000-0C00-000047010000}"/>
            </a:ext>
          </a:extLst>
        </xdr:cNvPr>
        <xdr:cNvSpPr txBox="1"/>
      </xdr:nvSpPr>
      <xdr:spPr>
        <a:xfrm>
          <a:off x="11430000" y="11049000"/>
          <a:ext cx="1865030" cy="8029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/>
        </a:p>
        <a:p>
          <a:pPr algn="ctr"/>
          <a:r>
            <a:rPr lang="fr-FR" sz="1100"/>
            <a:t>Zone d'éxpédition</a:t>
          </a:r>
        </a:p>
        <a:p>
          <a:endParaRPr lang="fr-FR" sz="1100" baseline="0"/>
        </a:p>
        <a:p>
          <a:endParaRPr lang="fr-FR" sz="1100" baseline="0"/>
        </a:p>
        <a:p>
          <a:endParaRPr lang="fr-FR" sz="1100" baseline="0"/>
        </a:p>
        <a:p>
          <a:endParaRPr lang="fr-FR" sz="1100" baseline="0"/>
        </a:p>
        <a:p>
          <a:endParaRPr lang="fr-FR" sz="1100"/>
        </a:p>
        <a:p>
          <a:endParaRPr lang="fr-FR" sz="1100"/>
        </a:p>
        <a:p>
          <a:endParaRPr lang="fr-FR" sz="1100"/>
        </a:p>
      </xdr:txBody>
    </xdr:sp>
    <xdr:clientData/>
  </xdr:twoCellAnchor>
  <xdr:twoCellAnchor>
    <xdr:from>
      <xdr:col>12</xdr:col>
      <xdr:colOff>27215</xdr:colOff>
      <xdr:row>54</xdr:row>
      <xdr:rowOff>122464</xdr:rowOff>
    </xdr:from>
    <xdr:to>
      <xdr:col>14</xdr:col>
      <xdr:colOff>22008</xdr:colOff>
      <xdr:row>62</xdr:row>
      <xdr:rowOff>22166</xdr:rowOff>
    </xdr:to>
    <xdr:sp macro="" textlink="">
      <xdr:nvSpPr>
        <xdr:cNvPr id="137" name="ZoneTexte 136">
          <a:extLst>
            <a:ext uri="{FF2B5EF4-FFF2-40B4-BE49-F238E27FC236}">
              <a16:creationId xmlns:a16="http://schemas.microsoft.com/office/drawing/2014/main" id="{00000000-0008-0000-0C00-000044010000}"/>
            </a:ext>
          </a:extLst>
        </xdr:cNvPr>
        <xdr:cNvSpPr txBox="1"/>
      </xdr:nvSpPr>
      <xdr:spPr>
        <a:xfrm>
          <a:off x="9171215" y="10409464"/>
          <a:ext cx="1518793" cy="14237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fr-FR" sz="1100"/>
        </a:p>
        <a:p>
          <a:endParaRPr lang="fr-FR" sz="1100"/>
        </a:p>
        <a:p>
          <a:pPr algn="ctr"/>
          <a:endParaRPr lang="fr-FR" sz="1100"/>
        </a:p>
        <a:p>
          <a:pPr algn="ctr"/>
          <a:r>
            <a:rPr lang="fr-FR" sz="1100"/>
            <a:t>Tubes PEHD de </a:t>
          </a:r>
        </a:p>
        <a:p>
          <a:pPr algn="ctr"/>
          <a:r>
            <a:rPr lang="fr-FR" sz="1100"/>
            <a:t>20 mm - 125 mm</a:t>
          </a:r>
        </a:p>
        <a:p>
          <a:endParaRPr lang="fr-FR" sz="1100"/>
        </a:p>
        <a:p>
          <a:endParaRPr lang="fr-FR" sz="1100"/>
        </a:p>
        <a:p>
          <a:endParaRPr lang="fr-FR" sz="1100"/>
        </a:p>
      </xdr:txBody>
    </xdr:sp>
    <xdr:clientData/>
  </xdr:twoCellAnchor>
  <xdr:twoCellAnchor>
    <xdr:from>
      <xdr:col>9</xdr:col>
      <xdr:colOff>607515</xdr:colOff>
      <xdr:row>57</xdr:row>
      <xdr:rowOff>108857</xdr:rowOff>
    </xdr:from>
    <xdr:to>
      <xdr:col>9</xdr:col>
      <xdr:colOff>734785</xdr:colOff>
      <xdr:row>59</xdr:row>
      <xdr:rowOff>12840</xdr:rowOff>
    </xdr:to>
    <xdr:sp macro="" textlink="">
      <xdr:nvSpPr>
        <xdr:cNvPr id="139" name="Flèche : bas 314">
          <a:extLst>
            <a:ext uri="{FF2B5EF4-FFF2-40B4-BE49-F238E27FC236}">
              <a16:creationId xmlns:a16="http://schemas.microsoft.com/office/drawing/2014/main" id="{00000000-0008-0000-0C00-00003B010000}"/>
            </a:ext>
          </a:extLst>
        </xdr:cNvPr>
        <xdr:cNvSpPr/>
      </xdr:nvSpPr>
      <xdr:spPr>
        <a:xfrm flipH="1">
          <a:off x="7465515" y="10967357"/>
          <a:ext cx="127270" cy="284983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639536</xdr:colOff>
      <xdr:row>55</xdr:row>
      <xdr:rowOff>54429</xdr:rowOff>
    </xdr:from>
    <xdr:to>
      <xdr:col>6</xdr:col>
      <xdr:colOff>634330</xdr:colOff>
      <xdr:row>62</xdr:row>
      <xdr:rowOff>146376</xdr:rowOff>
    </xdr:to>
    <xdr:sp macro="" textlink="">
      <xdr:nvSpPr>
        <xdr:cNvPr id="140" name="ZoneTexte 139">
          <a:extLst>
            <a:ext uri="{FF2B5EF4-FFF2-40B4-BE49-F238E27FC236}">
              <a16:creationId xmlns:a16="http://schemas.microsoft.com/office/drawing/2014/main" id="{00000000-0008-0000-0C00-000045010000}"/>
            </a:ext>
          </a:extLst>
        </xdr:cNvPr>
        <xdr:cNvSpPr txBox="1"/>
      </xdr:nvSpPr>
      <xdr:spPr>
        <a:xfrm>
          <a:off x="3687536" y="10531929"/>
          <a:ext cx="1518794" cy="14254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/>
        </a:p>
        <a:p>
          <a:endParaRPr lang="fr-FR" sz="1100"/>
        </a:p>
        <a:p>
          <a:r>
            <a:rPr lang="fr-FR" sz="1100"/>
            <a:t>Gains</a:t>
          </a:r>
          <a:r>
            <a:rPr lang="fr-FR" sz="1100" baseline="0"/>
            <a:t> de soufflage </a:t>
          </a:r>
        </a:p>
        <a:p>
          <a:r>
            <a:rPr lang="fr-FR" sz="1100" baseline="0"/>
            <a:t>purs</a:t>
          </a:r>
          <a:endParaRPr lang="fr-FR" sz="1100"/>
        </a:p>
        <a:p>
          <a:endParaRPr lang="fr-FR" sz="1100"/>
        </a:p>
      </xdr:txBody>
    </xdr:sp>
    <xdr:clientData/>
  </xdr:twoCellAnchor>
  <xdr:twoCellAnchor>
    <xdr:from>
      <xdr:col>17</xdr:col>
      <xdr:colOff>258535</xdr:colOff>
      <xdr:row>55</xdr:row>
      <xdr:rowOff>0</xdr:rowOff>
    </xdr:from>
    <xdr:to>
      <xdr:col>21</xdr:col>
      <xdr:colOff>693964</xdr:colOff>
      <xdr:row>61</xdr:row>
      <xdr:rowOff>5603</xdr:rowOff>
    </xdr:to>
    <xdr:sp macro="" textlink="">
      <xdr:nvSpPr>
        <xdr:cNvPr id="141" name="ZoneTexte 14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3212535" y="10477500"/>
          <a:ext cx="3483429" cy="11486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 baseline="0"/>
        </a:p>
        <a:p>
          <a:r>
            <a:rPr lang="fr-FR" sz="1100" baseline="0"/>
            <a:t>PEHD Double Paroi est déstiné à tout type de réseaux collectifs ou individuels d'assainissement fonctionnant par gravité :eaux usés ou eaux pluviales.</a:t>
          </a:r>
        </a:p>
        <a:p>
          <a:endParaRPr lang="fr-FR" sz="1100" baseline="0"/>
        </a:p>
      </xdr:txBody>
    </xdr:sp>
    <xdr:clientData/>
  </xdr:twoCellAnchor>
  <xdr:twoCellAnchor>
    <xdr:from>
      <xdr:col>8</xdr:col>
      <xdr:colOff>449036</xdr:colOff>
      <xdr:row>68</xdr:row>
      <xdr:rowOff>54429</xdr:rowOff>
    </xdr:from>
    <xdr:to>
      <xdr:col>11</xdr:col>
      <xdr:colOff>285750</xdr:colOff>
      <xdr:row>70</xdr:row>
      <xdr:rowOff>149679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6545036" y="13008429"/>
          <a:ext cx="2122714" cy="476250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2400" b="1"/>
            <a:t>PVC Pression</a:t>
          </a:r>
          <a:endParaRPr lang="fr-FR" sz="800" b="1"/>
        </a:p>
      </xdr:txBody>
    </xdr:sp>
    <xdr:clientData/>
  </xdr:twoCellAnchor>
  <xdr:twoCellAnchor>
    <xdr:from>
      <xdr:col>5</xdr:col>
      <xdr:colOff>449035</xdr:colOff>
      <xdr:row>71</xdr:row>
      <xdr:rowOff>122464</xdr:rowOff>
    </xdr:from>
    <xdr:to>
      <xdr:col>17</xdr:col>
      <xdr:colOff>570015</xdr:colOff>
      <xdr:row>101</xdr:row>
      <xdr:rowOff>16368</xdr:rowOff>
    </xdr:to>
    <xdr:grpSp>
      <xdr:nvGrpSpPr>
        <xdr:cNvPr id="181" name="Groupe 180">
          <a:extLst>
            <a:ext uri="{FF2B5EF4-FFF2-40B4-BE49-F238E27FC236}">
              <a16:creationId xmlns:a16="http://schemas.microsoft.com/office/drawing/2014/main" id="{00000000-0008-0000-0C00-000015010000}"/>
            </a:ext>
          </a:extLst>
        </xdr:cNvPr>
        <xdr:cNvGrpSpPr/>
      </xdr:nvGrpSpPr>
      <xdr:grpSpPr>
        <a:xfrm>
          <a:off x="4259035" y="13647964"/>
          <a:ext cx="9264980" cy="5608904"/>
          <a:chOff x="1868762" y="4348364"/>
          <a:chExt cx="9329474" cy="5451281"/>
        </a:xfrm>
      </xdr:grpSpPr>
      <xdr:grpSp>
        <xdr:nvGrpSpPr>
          <xdr:cNvPr id="182" name="Groupe 181">
            <a:extLst>
              <a:ext uri="{FF2B5EF4-FFF2-40B4-BE49-F238E27FC236}">
                <a16:creationId xmlns:a16="http://schemas.microsoft.com/office/drawing/2014/main" id="{00000000-0008-0000-0C00-000024010000}"/>
              </a:ext>
            </a:extLst>
          </xdr:cNvPr>
          <xdr:cNvGrpSpPr/>
        </xdr:nvGrpSpPr>
        <xdr:grpSpPr>
          <a:xfrm>
            <a:off x="1868762" y="4348364"/>
            <a:ext cx="9329474" cy="5451281"/>
            <a:chOff x="1868762" y="4348364"/>
            <a:chExt cx="9329474" cy="5451281"/>
          </a:xfrm>
        </xdr:grpSpPr>
        <xdr:sp macro="" textlink="">
          <xdr:nvSpPr>
            <xdr:cNvPr id="184" name="Ellipse 183">
              <a:extLst>
                <a:ext uri="{FF2B5EF4-FFF2-40B4-BE49-F238E27FC236}">
                  <a16:creationId xmlns:a16="http://schemas.microsoft.com/office/drawing/2014/main" id="{00000000-0008-0000-0C00-00002D010000}"/>
                </a:ext>
              </a:extLst>
            </xdr:cNvPr>
            <xdr:cNvSpPr/>
          </xdr:nvSpPr>
          <xdr:spPr>
            <a:xfrm>
              <a:off x="2098485" y="4357889"/>
              <a:ext cx="1557941" cy="451834"/>
            </a:xfrm>
            <a:prstGeom prst="ellipse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100" b="1"/>
                <a:t>Entrée</a:t>
              </a:r>
            </a:p>
          </xdr:txBody>
        </xdr:sp>
        <xdr:sp macro="" textlink="">
          <xdr:nvSpPr>
            <xdr:cNvPr id="185" name="Ellipse 184">
              <a:extLst>
                <a:ext uri="{FF2B5EF4-FFF2-40B4-BE49-F238E27FC236}">
                  <a16:creationId xmlns:a16="http://schemas.microsoft.com/office/drawing/2014/main" id="{00000000-0008-0000-0C00-00002E010000}"/>
                </a:ext>
              </a:extLst>
            </xdr:cNvPr>
            <xdr:cNvSpPr/>
          </xdr:nvSpPr>
          <xdr:spPr>
            <a:xfrm>
              <a:off x="4428253" y="4376939"/>
              <a:ext cx="1557942" cy="451834"/>
            </a:xfrm>
            <a:prstGeom prst="ellipse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100" b="1"/>
                <a:t>Processus</a:t>
              </a:r>
            </a:p>
          </xdr:txBody>
        </xdr:sp>
        <xdr:sp macro="" textlink="">
          <xdr:nvSpPr>
            <xdr:cNvPr id="186" name="Ellipse 185">
              <a:extLst>
                <a:ext uri="{FF2B5EF4-FFF2-40B4-BE49-F238E27FC236}">
                  <a16:creationId xmlns:a16="http://schemas.microsoft.com/office/drawing/2014/main" id="{00000000-0008-0000-0C00-00002F010000}"/>
                </a:ext>
              </a:extLst>
            </xdr:cNvPr>
            <xdr:cNvSpPr/>
          </xdr:nvSpPr>
          <xdr:spPr>
            <a:xfrm>
              <a:off x="6758022" y="4348364"/>
              <a:ext cx="1557941" cy="451834"/>
            </a:xfrm>
            <a:prstGeom prst="ellipse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100" b="1"/>
                <a:t>Sortie </a:t>
              </a:r>
            </a:p>
          </xdr:txBody>
        </xdr:sp>
        <xdr:sp macro="" textlink="">
          <xdr:nvSpPr>
            <xdr:cNvPr id="187" name="Ellipse 186">
              <a:extLst>
                <a:ext uri="{FF2B5EF4-FFF2-40B4-BE49-F238E27FC236}">
                  <a16:creationId xmlns:a16="http://schemas.microsoft.com/office/drawing/2014/main" id="{00000000-0008-0000-0C00-000030010000}"/>
                </a:ext>
              </a:extLst>
            </xdr:cNvPr>
            <xdr:cNvSpPr/>
          </xdr:nvSpPr>
          <xdr:spPr>
            <a:xfrm>
              <a:off x="9087789" y="4367414"/>
              <a:ext cx="1557941" cy="451834"/>
            </a:xfrm>
            <a:prstGeom prst="ellipse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100" b="1"/>
                <a:t>Client</a:t>
              </a:r>
            </a:p>
          </xdr:txBody>
        </xdr:sp>
        <xdr:sp macro="" textlink="">
          <xdr:nvSpPr>
            <xdr:cNvPr id="188" name="ZoneTexte 187">
              <a:extLst>
                <a:ext uri="{FF2B5EF4-FFF2-40B4-BE49-F238E27FC236}">
                  <a16:creationId xmlns:a16="http://schemas.microsoft.com/office/drawing/2014/main" id="{00000000-0008-0000-0C00-000031010000}"/>
                </a:ext>
              </a:extLst>
            </xdr:cNvPr>
            <xdr:cNvSpPr txBox="1"/>
          </xdr:nvSpPr>
          <xdr:spPr>
            <a:xfrm>
              <a:off x="2094823" y="5264377"/>
              <a:ext cx="1381892" cy="130302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  <a:p>
              <a:r>
                <a:rPr lang="fr-FR" sz="1100"/>
                <a:t> Résine</a:t>
              </a:r>
            </a:p>
            <a:p>
              <a:r>
                <a:rPr lang="fr-FR" sz="1100"/>
                <a:t>Carbone noir</a:t>
              </a:r>
            </a:p>
            <a:p>
              <a:r>
                <a:rPr lang="fr-FR" sz="1100"/>
                <a:t>Cire</a:t>
              </a:r>
            </a:p>
            <a:p>
              <a:r>
                <a:rPr lang="fr-FR" sz="1100"/>
                <a:t>Dioxide de Tythan</a:t>
              </a:r>
            </a:p>
            <a:p>
              <a:r>
                <a:rPr lang="fr-FR" sz="1100"/>
                <a:t>Lubricarbone</a:t>
              </a:r>
            </a:p>
            <a:p>
              <a:endParaRPr lang="fr-FR" sz="1100"/>
            </a:p>
            <a:p>
              <a:endParaRPr lang="fr-FR" sz="1100"/>
            </a:p>
          </xdr:txBody>
        </xdr:sp>
        <xdr:grpSp>
          <xdr:nvGrpSpPr>
            <xdr:cNvPr id="189" name="Groupe 188">
              <a:extLst>
                <a:ext uri="{FF2B5EF4-FFF2-40B4-BE49-F238E27FC236}">
                  <a16:creationId xmlns:a16="http://schemas.microsoft.com/office/drawing/2014/main" id="{00000000-0008-0000-0C00-000032010000}"/>
                </a:ext>
              </a:extLst>
            </xdr:cNvPr>
            <xdr:cNvGrpSpPr/>
          </xdr:nvGrpSpPr>
          <xdr:grpSpPr>
            <a:xfrm>
              <a:off x="4471114" y="4959439"/>
              <a:ext cx="1756049" cy="668611"/>
              <a:chOff x="4457700" y="5029199"/>
              <a:chExt cx="1749434" cy="676079"/>
            </a:xfrm>
          </xdr:grpSpPr>
          <xdr:sp macro="" textlink="">
            <xdr:nvSpPr>
              <xdr:cNvPr id="217" name="Rectangle 216">
                <a:extLst>
                  <a:ext uri="{FF2B5EF4-FFF2-40B4-BE49-F238E27FC236}">
                    <a16:creationId xmlns:a16="http://schemas.microsoft.com/office/drawing/2014/main" id="{00000000-0008-0000-0C00-000057010000}"/>
                  </a:ext>
                </a:extLst>
              </xdr:cNvPr>
              <xdr:cNvSpPr/>
            </xdr:nvSpPr>
            <xdr:spPr>
              <a:xfrm>
                <a:off x="4457700" y="5029199"/>
                <a:ext cx="1735383" cy="676079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8" name="Losange 217">
                <a:extLst>
                  <a:ext uri="{FF2B5EF4-FFF2-40B4-BE49-F238E27FC236}">
                    <a16:creationId xmlns:a16="http://schemas.microsoft.com/office/drawing/2014/main" id="{00000000-0008-0000-0C00-000058010000}"/>
                  </a:ext>
                </a:extLst>
              </xdr:cNvPr>
              <xdr:cNvSpPr/>
            </xdr:nvSpPr>
            <xdr:spPr>
              <a:xfrm>
                <a:off x="4495799" y="5038724"/>
                <a:ext cx="1711335" cy="652791"/>
              </a:xfrm>
              <a:prstGeom prst="diamond">
                <a:avLst/>
              </a:prstGeom>
              <a:ln/>
            </xdr:spPr>
            <xdr:style>
              <a:lnRef idx="2">
                <a:schemeClr val="accent2"/>
              </a:lnRef>
              <a:fillRef idx="1">
                <a:schemeClr val="lt1"/>
              </a:fillRef>
              <a:effectRef idx="0">
                <a:schemeClr val="accent2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fr-FR" sz="1100"/>
                  <a:t>Mélangeur</a:t>
                </a:r>
              </a:p>
            </xdr:txBody>
          </xdr:sp>
        </xdr:grpSp>
        <xdr:sp macro="" textlink="">
          <xdr:nvSpPr>
            <xdr:cNvPr id="190" name="Flèche : bas 306">
              <a:extLst>
                <a:ext uri="{FF2B5EF4-FFF2-40B4-BE49-F238E27FC236}">
                  <a16:creationId xmlns:a16="http://schemas.microsoft.com/office/drawing/2014/main" id="{00000000-0008-0000-0C00-000033010000}"/>
                </a:ext>
              </a:extLst>
            </xdr:cNvPr>
            <xdr:cNvSpPr/>
          </xdr:nvSpPr>
          <xdr:spPr>
            <a:xfrm>
              <a:off x="5314753" y="5596440"/>
              <a:ext cx="104775" cy="254492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1" name="Triangle isocèle 190">
              <a:extLst>
                <a:ext uri="{FF2B5EF4-FFF2-40B4-BE49-F238E27FC236}">
                  <a16:creationId xmlns:a16="http://schemas.microsoft.com/office/drawing/2014/main" id="{00000000-0008-0000-0C00-000034010000}"/>
                </a:ext>
              </a:extLst>
            </xdr:cNvPr>
            <xdr:cNvSpPr/>
          </xdr:nvSpPr>
          <xdr:spPr>
            <a:xfrm rot="10800000">
              <a:off x="4546941" y="7187308"/>
              <a:ext cx="1553273" cy="496412"/>
            </a:xfrm>
            <a:prstGeom prst="triangle">
              <a:avLst>
                <a:gd name="adj" fmla="val 52418"/>
              </a:avLst>
            </a:prstGeom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92" name="Groupe 191">
              <a:extLst>
                <a:ext uri="{FF2B5EF4-FFF2-40B4-BE49-F238E27FC236}">
                  <a16:creationId xmlns:a16="http://schemas.microsoft.com/office/drawing/2014/main" id="{00000000-0008-0000-0C00-000035010000}"/>
                </a:ext>
              </a:extLst>
            </xdr:cNvPr>
            <xdr:cNvGrpSpPr/>
          </xdr:nvGrpSpPr>
          <xdr:grpSpPr>
            <a:xfrm>
              <a:off x="4702470" y="5900126"/>
              <a:ext cx="1310292" cy="328009"/>
              <a:chOff x="4745567" y="5791290"/>
              <a:chExt cx="1304925" cy="333375"/>
            </a:xfrm>
          </xdr:grpSpPr>
          <xdr:sp macro="" textlink="">
            <xdr:nvSpPr>
              <xdr:cNvPr id="215" name="Flèche : pentagone 340">
                <a:extLst>
                  <a:ext uri="{FF2B5EF4-FFF2-40B4-BE49-F238E27FC236}">
                    <a16:creationId xmlns:a16="http://schemas.microsoft.com/office/drawing/2014/main" id="{00000000-0008-0000-0C00-000055010000}"/>
                  </a:ext>
                </a:extLst>
              </xdr:cNvPr>
              <xdr:cNvSpPr/>
            </xdr:nvSpPr>
            <xdr:spPr>
              <a:xfrm>
                <a:off x="4745567" y="5791290"/>
                <a:ext cx="1304925" cy="333375"/>
              </a:xfrm>
              <a:prstGeom prst="homePlate">
                <a:avLst/>
              </a:prstGeom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pic>
            <xdr:nvPicPr>
              <xdr:cNvPr id="216" name="Image 215">
                <a:extLst>
                  <a:ext uri="{FF2B5EF4-FFF2-40B4-BE49-F238E27FC236}">
                    <a16:creationId xmlns:a16="http://schemas.microsoft.com/office/drawing/2014/main" id="{00000000-0008-0000-0C00-000056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4997256" y="5871806"/>
                <a:ext cx="725487" cy="238125"/>
              </a:xfrm>
              <a:prstGeom prst="rect">
                <a:avLst/>
              </a:prstGeom>
            </xdr:spPr>
          </xdr:pic>
        </xdr:grpSp>
        <xdr:sp macro="" textlink="">
          <xdr:nvSpPr>
            <xdr:cNvPr id="193" name="Flèche : bas 309">
              <a:extLst>
                <a:ext uri="{FF2B5EF4-FFF2-40B4-BE49-F238E27FC236}">
                  <a16:creationId xmlns:a16="http://schemas.microsoft.com/office/drawing/2014/main" id="{00000000-0008-0000-0C00-000036010000}"/>
                </a:ext>
              </a:extLst>
            </xdr:cNvPr>
            <xdr:cNvSpPr/>
          </xdr:nvSpPr>
          <xdr:spPr>
            <a:xfrm>
              <a:off x="5257966" y="6899730"/>
              <a:ext cx="104775" cy="251809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94" name="Groupe 193">
              <a:extLst>
                <a:ext uri="{FF2B5EF4-FFF2-40B4-BE49-F238E27FC236}">
                  <a16:creationId xmlns:a16="http://schemas.microsoft.com/office/drawing/2014/main" id="{00000000-0008-0000-0C00-000037010000}"/>
                </a:ext>
              </a:extLst>
            </xdr:cNvPr>
            <xdr:cNvGrpSpPr/>
          </xdr:nvGrpSpPr>
          <xdr:grpSpPr>
            <a:xfrm>
              <a:off x="4222749" y="7937407"/>
              <a:ext cx="2008302" cy="601551"/>
              <a:chOff x="4497576" y="5568101"/>
              <a:chExt cx="1419225" cy="476250"/>
            </a:xfrm>
          </xdr:grpSpPr>
          <xdr:sp macro="" textlink="">
            <xdr:nvSpPr>
              <xdr:cNvPr id="213" name="Rectangle 212">
                <a:extLst>
                  <a:ext uri="{FF2B5EF4-FFF2-40B4-BE49-F238E27FC236}">
                    <a16:creationId xmlns:a16="http://schemas.microsoft.com/office/drawing/2014/main" id="{00000000-0008-0000-0C00-000053010000}"/>
                  </a:ext>
                </a:extLst>
              </xdr:cNvPr>
              <xdr:cNvSpPr/>
            </xdr:nvSpPr>
            <xdr:spPr>
              <a:xfrm>
                <a:off x="4497576" y="5568101"/>
                <a:ext cx="1419225" cy="476250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14" name="Losange 213">
                <a:extLst>
                  <a:ext uri="{FF2B5EF4-FFF2-40B4-BE49-F238E27FC236}">
                    <a16:creationId xmlns:a16="http://schemas.microsoft.com/office/drawing/2014/main" id="{00000000-0008-0000-0C00-000054010000}"/>
                  </a:ext>
                </a:extLst>
              </xdr:cNvPr>
              <xdr:cNvSpPr/>
            </xdr:nvSpPr>
            <xdr:spPr>
              <a:xfrm>
                <a:off x="4505776" y="5588405"/>
                <a:ext cx="1381125" cy="444401"/>
              </a:xfrm>
              <a:prstGeom prst="diamond">
                <a:avLst/>
              </a:prstGeom>
              <a:ln/>
            </xdr:spPr>
            <xdr:style>
              <a:lnRef idx="2">
                <a:schemeClr val="accent2"/>
              </a:lnRef>
              <a:fillRef idx="1">
                <a:schemeClr val="lt1"/>
              </a:fillRef>
              <a:effectRef idx="0">
                <a:schemeClr val="accent2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fr-FR" sz="900" baseline="0"/>
                  <a:t>Moulage </a:t>
                </a:r>
                <a:endParaRPr lang="fr-FR" sz="900"/>
              </a:p>
            </xdr:txBody>
          </xdr:sp>
        </xdr:grpSp>
        <xdr:sp macro="" textlink="">
          <xdr:nvSpPr>
            <xdr:cNvPr id="195" name="Flèche : bas 311">
              <a:extLst>
                <a:ext uri="{FF2B5EF4-FFF2-40B4-BE49-F238E27FC236}">
                  <a16:creationId xmlns:a16="http://schemas.microsoft.com/office/drawing/2014/main" id="{00000000-0008-0000-0C00-000038010000}"/>
                </a:ext>
              </a:extLst>
            </xdr:cNvPr>
            <xdr:cNvSpPr/>
          </xdr:nvSpPr>
          <xdr:spPr>
            <a:xfrm>
              <a:off x="5291124" y="6248233"/>
              <a:ext cx="104775" cy="254492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96" name="Groupe 195">
              <a:extLst>
                <a:ext uri="{FF2B5EF4-FFF2-40B4-BE49-F238E27FC236}">
                  <a16:creationId xmlns:a16="http://schemas.microsoft.com/office/drawing/2014/main" id="{00000000-0008-0000-0C00-000039010000}"/>
                </a:ext>
              </a:extLst>
            </xdr:cNvPr>
            <xdr:cNvGrpSpPr/>
          </xdr:nvGrpSpPr>
          <xdr:grpSpPr>
            <a:xfrm>
              <a:off x="4608185" y="8961053"/>
              <a:ext cx="1310292" cy="330692"/>
              <a:chOff x="4675332" y="6456005"/>
              <a:chExt cx="1304925" cy="333375"/>
            </a:xfrm>
          </xdr:grpSpPr>
          <xdr:sp macro="" textlink="">
            <xdr:nvSpPr>
              <xdr:cNvPr id="211" name="Flèche : pentagone 336">
                <a:extLst>
                  <a:ext uri="{FF2B5EF4-FFF2-40B4-BE49-F238E27FC236}">
                    <a16:creationId xmlns:a16="http://schemas.microsoft.com/office/drawing/2014/main" id="{00000000-0008-0000-0C00-000051010000}"/>
                  </a:ext>
                </a:extLst>
              </xdr:cNvPr>
              <xdr:cNvSpPr/>
            </xdr:nvSpPr>
            <xdr:spPr>
              <a:xfrm>
                <a:off x="4675332" y="6456005"/>
                <a:ext cx="1304925" cy="333375"/>
              </a:xfrm>
              <a:prstGeom prst="homePlate">
                <a:avLst/>
              </a:prstGeom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pic>
            <xdr:nvPicPr>
              <xdr:cNvPr id="212" name="Image 211">
                <a:extLst>
                  <a:ext uri="{FF2B5EF4-FFF2-40B4-BE49-F238E27FC236}">
                    <a16:creationId xmlns:a16="http://schemas.microsoft.com/office/drawing/2014/main" id="{00000000-0008-0000-0C00-000052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4941068" y="6508957"/>
                <a:ext cx="725487" cy="238125"/>
              </a:xfrm>
              <a:prstGeom prst="rect">
                <a:avLst/>
              </a:prstGeom>
            </xdr:spPr>
          </xdr:pic>
        </xdr:grpSp>
        <xdr:sp macro="" textlink="">
          <xdr:nvSpPr>
            <xdr:cNvPr id="197" name="Flèche : bas 314">
              <a:extLst>
                <a:ext uri="{FF2B5EF4-FFF2-40B4-BE49-F238E27FC236}">
                  <a16:creationId xmlns:a16="http://schemas.microsoft.com/office/drawing/2014/main" id="{00000000-0008-0000-0C00-00003B010000}"/>
                </a:ext>
              </a:extLst>
            </xdr:cNvPr>
            <xdr:cNvSpPr/>
          </xdr:nvSpPr>
          <xdr:spPr>
            <a:xfrm>
              <a:off x="5136781" y="8623439"/>
              <a:ext cx="104775" cy="254492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98" name="Groupe 197">
              <a:extLst>
                <a:ext uri="{FF2B5EF4-FFF2-40B4-BE49-F238E27FC236}">
                  <a16:creationId xmlns:a16="http://schemas.microsoft.com/office/drawing/2014/main" id="{00000000-0008-0000-0C00-00003D010000}"/>
                </a:ext>
              </a:extLst>
            </xdr:cNvPr>
            <xdr:cNvGrpSpPr/>
          </xdr:nvGrpSpPr>
          <xdr:grpSpPr>
            <a:xfrm>
              <a:off x="3365503" y="5160528"/>
              <a:ext cx="1143946" cy="860564"/>
              <a:chOff x="3333672" y="5373890"/>
              <a:chExt cx="1136266" cy="900075"/>
            </a:xfrm>
          </xdr:grpSpPr>
          <xdr:cxnSp macro="">
            <xdr:nvCxnSpPr>
              <xdr:cNvPr id="209" name="Connecteur droit avec flèche 208">
                <a:extLst>
                  <a:ext uri="{FF2B5EF4-FFF2-40B4-BE49-F238E27FC236}">
                    <a16:creationId xmlns:a16="http://schemas.microsoft.com/office/drawing/2014/main" id="{00000000-0008-0000-0C00-00004E010000}"/>
                  </a:ext>
                </a:extLst>
              </xdr:cNvPr>
              <xdr:cNvCxnSpPr/>
            </xdr:nvCxnSpPr>
            <xdr:spPr>
              <a:xfrm>
                <a:off x="3333672" y="5915370"/>
                <a:ext cx="581611" cy="10946"/>
              </a:xfrm>
              <a:prstGeom prst="straightConnector1">
                <a:avLst/>
              </a:prstGeom>
              <a:ln>
                <a:prstDash val="lgDashDot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0" name="Connecteur : en angle 335">
                <a:extLst>
                  <a:ext uri="{FF2B5EF4-FFF2-40B4-BE49-F238E27FC236}">
                    <a16:creationId xmlns:a16="http://schemas.microsoft.com/office/drawing/2014/main" id="{00000000-0008-0000-0C00-000050010000}"/>
                  </a:ext>
                </a:extLst>
              </xdr:cNvPr>
              <xdr:cNvCxnSpPr/>
            </xdr:nvCxnSpPr>
            <xdr:spPr>
              <a:xfrm rot="5400000" flipH="1" flipV="1">
                <a:off x="3726150" y="5530178"/>
                <a:ext cx="900075" cy="587500"/>
              </a:xfrm>
              <a:prstGeom prst="bentConnector2">
                <a:avLst/>
              </a:prstGeom>
              <a:ln>
                <a:prstDash val="lgDashDot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9" name="Connecteur droit 198">
              <a:extLst>
                <a:ext uri="{FF2B5EF4-FFF2-40B4-BE49-F238E27FC236}">
                  <a16:creationId xmlns:a16="http://schemas.microsoft.com/office/drawing/2014/main" id="{00000000-0008-0000-0C00-00003E010000}"/>
                </a:ext>
              </a:extLst>
            </xdr:cNvPr>
            <xdr:cNvCxnSpPr/>
          </xdr:nvCxnSpPr>
          <xdr:spPr>
            <a:xfrm flipH="1">
              <a:off x="3970986" y="4551399"/>
              <a:ext cx="5704" cy="5248246"/>
            </a:xfrm>
            <a:prstGeom prst="line">
              <a:avLst/>
            </a:prstGeom>
            <a:ln>
              <a:prstDash val="lg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0" name="Connecteur droit 199">
              <a:extLst>
                <a:ext uri="{FF2B5EF4-FFF2-40B4-BE49-F238E27FC236}">
                  <a16:creationId xmlns:a16="http://schemas.microsoft.com/office/drawing/2014/main" id="{00000000-0008-0000-0C00-00003F010000}"/>
                </a:ext>
              </a:extLst>
            </xdr:cNvPr>
            <xdr:cNvCxnSpPr/>
          </xdr:nvCxnSpPr>
          <xdr:spPr>
            <a:xfrm flipV="1">
              <a:off x="1868762" y="7742059"/>
              <a:ext cx="9329474" cy="21898"/>
            </a:xfrm>
            <a:prstGeom prst="line">
              <a:avLst/>
            </a:prstGeom>
            <a:ln>
              <a:prstDash val="lg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1" name="Connecteur droit 200">
              <a:extLst>
                <a:ext uri="{FF2B5EF4-FFF2-40B4-BE49-F238E27FC236}">
                  <a16:creationId xmlns:a16="http://schemas.microsoft.com/office/drawing/2014/main" id="{00000000-0008-0000-0C00-000040010000}"/>
                </a:ext>
              </a:extLst>
            </xdr:cNvPr>
            <xdr:cNvCxnSpPr/>
          </xdr:nvCxnSpPr>
          <xdr:spPr>
            <a:xfrm flipH="1">
              <a:off x="6439437" y="4429272"/>
              <a:ext cx="28373" cy="5248246"/>
            </a:xfrm>
            <a:prstGeom prst="line">
              <a:avLst/>
            </a:prstGeom>
            <a:ln>
              <a:prstDash val="lg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2" name="Connecteur droit 201">
              <a:extLst>
                <a:ext uri="{FF2B5EF4-FFF2-40B4-BE49-F238E27FC236}">
                  <a16:creationId xmlns:a16="http://schemas.microsoft.com/office/drawing/2014/main" id="{00000000-0008-0000-0C00-000041010000}"/>
                </a:ext>
              </a:extLst>
            </xdr:cNvPr>
            <xdr:cNvCxnSpPr/>
          </xdr:nvCxnSpPr>
          <xdr:spPr>
            <a:xfrm>
              <a:off x="8663324" y="4451170"/>
              <a:ext cx="16500" cy="5248246"/>
            </a:xfrm>
            <a:prstGeom prst="line">
              <a:avLst/>
            </a:prstGeom>
            <a:ln>
              <a:prstDash val="lg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3" name="ZoneTexte 202">
              <a:extLst>
                <a:ext uri="{FF2B5EF4-FFF2-40B4-BE49-F238E27FC236}">
                  <a16:creationId xmlns:a16="http://schemas.microsoft.com/office/drawing/2014/main" id="{00000000-0008-0000-0C00-000043010000}"/>
                </a:ext>
              </a:extLst>
            </xdr:cNvPr>
            <xdr:cNvSpPr txBox="1"/>
          </xdr:nvSpPr>
          <xdr:spPr>
            <a:xfrm>
              <a:off x="6763415" y="5224328"/>
              <a:ext cx="1878013" cy="110500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100"/>
                <a:t>Mélange Résine et accessoires</a:t>
              </a:r>
              <a:endParaRPr lang="fr-FR" sz="1100" baseline="0"/>
            </a:p>
            <a:p>
              <a:endParaRPr lang="fr-FR" sz="1100" baseline="0"/>
            </a:p>
            <a:p>
              <a:endParaRPr lang="fr-FR" sz="1100" baseline="0"/>
            </a:p>
            <a:p>
              <a:endParaRPr lang="fr-FR" sz="1100"/>
            </a:p>
            <a:p>
              <a:endParaRPr lang="fr-FR" sz="1100"/>
            </a:p>
            <a:p>
              <a:endParaRPr lang="fr-FR" sz="1100"/>
            </a:p>
          </xdr:txBody>
        </xdr:sp>
        <xdr:sp macro="" textlink="">
          <xdr:nvSpPr>
            <xdr:cNvPr id="204" name="ZoneTexte 203">
              <a:extLst>
                <a:ext uri="{FF2B5EF4-FFF2-40B4-BE49-F238E27FC236}">
                  <a16:creationId xmlns:a16="http://schemas.microsoft.com/office/drawing/2014/main" id="{00000000-0008-0000-0C00-000044010000}"/>
                </a:ext>
              </a:extLst>
            </xdr:cNvPr>
            <xdr:cNvSpPr txBox="1"/>
          </xdr:nvSpPr>
          <xdr:spPr>
            <a:xfrm>
              <a:off x="6708673" y="7972983"/>
              <a:ext cx="1529365" cy="1383692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endParaRPr lang="fr-FR" sz="1100"/>
            </a:p>
            <a:p>
              <a:endParaRPr lang="fr-FR" sz="1100"/>
            </a:p>
            <a:p>
              <a:pPr algn="ctr"/>
              <a:endParaRPr lang="fr-FR" sz="1100"/>
            </a:p>
            <a:p>
              <a:pPr algn="ctr"/>
              <a:r>
                <a:rPr lang="fr-FR" sz="1100"/>
                <a:t>Tubes PVC</a:t>
              </a:r>
              <a:r>
                <a:rPr lang="fr-FR" sz="1100" baseline="0"/>
                <a:t> </a:t>
              </a:r>
            </a:p>
            <a:p>
              <a:pPr algn="ctr"/>
              <a:r>
                <a:rPr lang="fr-FR" sz="1100" baseline="0"/>
                <a:t>de</a:t>
              </a:r>
              <a:endParaRPr lang="fr-FR" sz="1100"/>
            </a:p>
            <a:p>
              <a:pPr algn="ctr"/>
              <a:r>
                <a:rPr lang="fr-FR" sz="1100"/>
                <a:t>50 - 200</a:t>
              </a:r>
            </a:p>
            <a:p>
              <a:endParaRPr lang="fr-FR" sz="1100"/>
            </a:p>
            <a:p>
              <a:endParaRPr lang="fr-FR" sz="1100"/>
            </a:p>
          </xdr:txBody>
        </xdr:sp>
        <xdr:sp macro="" textlink="">
          <xdr:nvSpPr>
            <xdr:cNvPr id="205" name="ZoneTexte 204">
              <a:extLst>
                <a:ext uri="{FF2B5EF4-FFF2-40B4-BE49-F238E27FC236}">
                  <a16:creationId xmlns:a16="http://schemas.microsoft.com/office/drawing/2014/main" id="{00000000-0008-0000-0C00-000046010000}"/>
                </a:ext>
              </a:extLst>
            </xdr:cNvPr>
            <xdr:cNvSpPr txBox="1"/>
          </xdr:nvSpPr>
          <xdr:spPr>
            <a:xfrm>
              <a:off x="9068411" y="5158642"/>
              <a:ext cx="1878013" cy="110500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fr-FR" sz="1100" baseline="0"/>
                <a:t>Machine PVC </a:t>
              </a:r>
            </a:p>
            <a:p>
              <a:pPr algn="ctr"/>
              <a:r>
                <a:rPr lang="fr-FR" sz="1100" baseline="0"/>
                <a:t>Amut</a:t>
              </a:r>
            </a:p>
            <a:p>
              <a:endParaRPr lang="fr-FR" sz="1100" baseline="0"/>
            </a:p>
            <a:p>
              <a:endParaRPr lang="fr-FR" sz="1100" baseline="0"/>
            </a:p>
            <a:p>
              <a:endParaRPr lang="fr-FR" sz="1100"/>
            </a:p>
            <a:p>
              <a:endParaRPr lang="fr-FR" sz="1100"/>
            </a:p>
            <a:p>
              <a:endParaRPr lang="fr-FR" sz="1100"/>
            </a:p>
          </xdr:txBody>
        </xdr:sp>
        <xdr:grpSp>
          <xdr:nvGrpSpPr>
            <xdr:cNvPr id="206" name="Groupe 205">
              <a:extLst>
                <a:ext uri="{FF2B5EF4-FFF2-40B4-BE49-F238E27FC236}">
                  <a16:creationId xmlns:a16="http://schemas.microsoft.com/office/drawing/2014/main" id="{00000000-0008-0000-0C00-000048010000}"/>
                </a:ext>
              </a:extLst>
            </xdr:cNvPr>
            <xdr:cNvGrpSpPr/>
          </xdr:nvGrpSpPr>
          <xdr:grpSpPr>
            <a:xfrm>
              <a:off x="2970087" y="8282160"/>
              <a:ext cx="1222144" cy="868465"/>
              <a:chOff x="3222344" y="6135790"/>
              <a:chExt cx="1205844" cy="900075"/>
            </a:xfrm>
          </xdr:grpSpPr>
          <xdr:cxnSp macro="">
            <xdr:nvCxnSpPr>
              <xdr:cNvPr id="207" name="Connecteur droit avec flèche 206">
                <a:extLst>
                  <a:ext uri="{FF2B5EF4-FFF2-40B4-BE49-F238E27FC236}">
                    <a16:creationId xmlns:a16="http://schemas.microsoft.com/office/drawing/2014/main" id="{00000000-0008-0000-0C00-00004A010000}"/>
                  </a:ext>
                </a:extLst>
              </xdr:cNvPr>
              <xdr:cNvCxnSpPr/>
            </xdr:nvCxnSpPr>
            <xdr:spPr>
              <a:xfrm>
                <a:off x="3222344" y="6477302"/>
                <a:ext cx="581611" cy="10946"/>
              </a:xfrm>
              <a:prstGeom prst="straightConnector1">
                <a:avLst/>
              </a:prstGeom>
              <a:ln>
                <a:prstDash val="lgDashDot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08" name="Connecteur : en angle 331">
                <a:extLst>
                  <a:ext uri="{FF2B5EF4-FFF2-40B4-BE49-F238E27FC236}">
                    <a16:creationId xmlns:a16="http://schemas.microsoft.com/office/drawing/2014/main" id="{00000000-0008-0000-0C00-00004C010000}"/>
                  </a:ext>
                </a:extLst>
              </xdr:cNvPr>
              <xdr:cNvCxnSpPr/>
            </xdr:nvCxnSpPr>
            <xdr:spPr>
              <a:xfrm rot="5400000" flipH="1" flipV="1">
                <a:off x="3684400" y="6292078"/>
                <a:ext cx="900075" cy="587500"/>
              </a:xfrm>
              <a:prstGeom prst="bentConnector2">
                <a:avLst/>
              </a:prstGeom>
              <a:ln>
                <a:prstDash val="lgDashDot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183" name="ZoneTexte 182">
            <a:extLst>
              <a:ext uri="{FF2B5EF4-FFF2-40B4-BE49-F238E27FC236}">
                <a16:creationId xmlns:a16="http://schemas.microsoft.com/office/drawing/2014/main" id="{00000000-0008-0000-0C00-000018010000}"/>
              </a:ext>
            </a:extLst>
          </xdr:cNvPr>
          <xdr:cNvSpPr txBox="1"/>
        </xdr:nvSpPr>
        <xdr:spPr>
          <a:xfrm>
            <a:off x="5034263" y="7265378"/>
            <a:ext cx="529980" cy="25498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/>
              <a:t>Stock</a:t>
            </a:r>
          </a:p>
        </xdr:txBody>
      </xdr:sp>
    </xdr:grpSp>
    <xdr:clientData/>
  </xdr:twoCellAnchor>
  <xdr:twoCellAnchor>
    <xdr:from>
      <xdr:col>8</xdr:col>
      <xdr:colOff>734786</xdr:colOff>
      <xdr:row>83</xdr:row>
      <xdr:rowOff>40821</xdr:rowOff>
    </xdr:from>
    <xdr:to>
      <xdr:col>11</xdr:col>
      <xdr:colOff>178689</xdr:colOff>
      <xdr:row>85</xdr:row>
      <xdr:rowOff>75560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C00-000057010000}"/>
            </a:ext>
          </a:extLst>
        </xdr:cNvPr>
        <xdr:cNvSpPr/>
      </xdr:nvSpPr>
      <xdr:spPr>
        <a:xfrm>
          <a:off x="6830786" y="15852321"/>
          <a:ext cx="1729903" cy="41573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Criblage</a:t>
          </a:r>
        </a:p>
      </xdr:txBody>
    </xdr:sp>
    <xdr:clientData/>
  </xdr:twoCellAnchor>
  <xdr:twoCellAnchor>
    <xdr:from>
      <xdr:col>19</xdr:col>
      <xdr:colOff>0</xdr:colOff>
      <xdr:row>86</xdr:row>
      <xdr:rowOff>0</xdr:rowOff>
    </xdr:from>
    <xdr:to>
      <xdr:col>23</xdr:col>
      <xdr:colOff>413197</xdr:colOff>
      <xdr:row>90</xdr:row>
      <xdr:rowOff>36419</xdr:rowOff>
    </xdr:to>
    <xdr:sp macro="" textlink="">
      <xdr:nvSpPr>
        <xdr:cNvPr id="222" name="ZoneTexte 221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4478000" y="16383000"/>
          <a:ext cx="3461197" cy="7984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 baseline="0"/>
        </a:p>
        <a:p>
          <a:r>
            <a:rPr lang="fr-FR" sz="1100" baseline="0"/>
            <a:t>PEHD Ligne Bleue est destinée à transporter l'eau sous pression </a:t>
          </a:r>
        </a:p>
        <a:p>
          <a:endParaRPr lang="fr-FR" sz="1100" baseline="0"/>
        </a:p>
      </xdr:txBody>
    </xdr:sp>
    <xdr:clientData/>
  </xdr:twoCellAnchor>
  <xdr:twoCellAnchor>
    <xdr:from>
      <xdr:col>15</xdr:col>
      <xdr:colOff>163286</xdr:colOff>
      <xdr:row>94</xdr:row>
      <xdr:rowOff>122465</xdr:rowOff>
    </xdr:from>
    <xdr:to>
      <xdr:col>17</xdr:col>
      <xdr:colOff>504316</xdr:colOff>
      <xdr:row>98</xdr:row>
      <xdr:rowOff>163455</xdr:rowOff>
    </xdr:to>
    <xdr:sp macro="" textlink="">
      <xdr:nvSpPr>
        <xdr:cNvPr id="223" name="ZoneTexte 222">
          <a:extLst>
            <a:ext uri="{FF2B5EF4-FFF2-40B4-BE49-F238E27FC236}">
              <a16:creationId xmlns:a16="http://schemas.microsoft.com/office/drawing/2014/main" id="{00000000-0008-0000-0C00-000047010000}"/>
            </a:ext>
          </a:extLst>
        </xdr:cNvPr>
        <xdr:cNvSpPr txBox="1"/>
      </xdr:nvSpPr>
      <xdr:spPr>
        <a:xfrm>
          <a:off x="11593286" y="18029465"/>
          <a:ext cx="1865030" cy="8029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/>
        </a:p>
        <a:p>
          <a:pPr algn="ctr"/>
          <a:r>
            <a:rPr lang="fr-FR" sz="1100"/>
            <a:t>Zone d'éxpédition</a:t>
          </a:r>
        </a:p>
        <a:p>
          <a:endParaRPr lang="fr-FR" sz="1100" baseline="0"/>
        </a:p>
        <a:p>
          <a:endParaRPr lang="fr-FR" sz="1100" baseline="0"/>
        </a:p>
        <a:p>
          <a:endParaRPr lang="fr-FR" sz="1100" baseline="0"/>
        </a:p>
        <a:p>
          <a:endParaRPr lang="fr-FR" sz="1100" baseline="0"/>
        </a:p>
        <a:p>
          <a:endParaRPr lang="fr-FR" sz="1100"/>
        </a:p>
        <a:p>
          <a:endParaRPr lang="fr-FR" sz="1100"/>
        </a:p>
        <a:p>
          <a:endParaRPr lang="fr-FR" sz="1100"/>
        </a:p>
      </xdr:txBody>
    </xdr:sp>
    <xdr:clientData/>
  </xdr:twoCellAnchor>
  <xdr:twoCellAnchor>
    <xdr:from>
      <xdr:col>5</xdr:col>
      <xdr:colOff>326572</xdr:colOff>
      <xdr:row>90</xdr:row>
      <xdr:rowOff>163286</xdr:rowOff>
    </xdr:from>
    <xdr:to>
      <xdr:col>7</xdr:col>
      <xdr:colOff>35219</xdr:colOff>
      <xdr:row>98</xdr:row>
      <xdr:rowOff>64732</xdr:rowOff>
    </xdr:to>
    <xdr:sp macro="" textlink="">
      <xdr:nvSpPr>
        <xdr:cNvPr id="225" name="ZoneTexte 224">
          <a:extLst>
            <a:ext uri="{FF2B5EF4-FFF2-40B4-BE49-F238E27FC236}">
              <a16:creationId xmlns:a16="http://schemas.microsoft.com/office/drawing/2014/main" id="{00000000-0008-0000-0C00-000045010000}"/>
            </a:ext>
          </a:extLst>
        </xdr:cNvPr>
        <xdr:cNvSpPr txBox="1"/>
      </xdr:nvSpPr>
      <xdr:spPr>
        <a:xfrm>
          <a:off x="4136572" y="17308286"/>
          <a:ext cx="1232647" cy="14254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/>
        </a:p>
        <a:p>
          <a:endParaRPr lang="fr-FR" sz="1100"/>
        </a:p>
        <a:p>
          <a:r>
            <a:rPr lang="fr-FR" sz="1100"/>
            <a:t>Mélange de</a:t>
          </a:r>
          <a:r>
            <a:rPr lang="fr-FR" sz="1100" baseline="0"/>
            <a:t> la résine et des accessoires</a:t>
          </a:r>
          <a:endParaRPr lang="fr-FR" sz="1100"/>
        </a:p>
        <a:p>
          <a:endParaRPr lang="fr-FR" sz="1100"/>
        </a:p>
      </xdr:txBody>
    </xdr:sp>
    <xdr:clientData/>
  </xdr:twoCellAnchor>
  <xdr:twoCellAnchor>
    <xdr:from>
      <xdr:col>7</xdr:col>
      <xdr:colOff>666748</xdr:colOff>
      <xdr:row>102</xdr:row>
      <xdr:rowOff>2</xdr:rowOff>
    </xdr:from>
    <xdr:to>
      <xdr:col>12</xdr:col>
      <xdr:colOff>639535</xdr:colOff>
      <xdr:row>105</xdr:row>
      <xdr:rowOff>27215</xdr:rowOff>
    </xdr:to>
    <xdr:sp macro="" textlink="">
      <xdr:nvSpPr>
        <xdr:cNvPr id="226" name="Rectangle 225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6000748" y="19431002"/>
          <a:ext cx="3782787" cy="598713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PVC Assainissement</a:t>
          </a:r>
          <a:endParaRPr lang="fr-FR" sz="1000" b="1"/>
        </a:p>
      </xdr:txBody>
    </xdr:sp>
    <xdr:clientData/>
  </xdr:twoCellAnchor>
  <xdr:twoCellAnchor>
    <xdr:from>
      <xdr:col>5</xdr:col>
      <xdr:colOff>517071</xdr:colOff>
      <xdr:row>106</xdr:row>
      <xdr:rowOff>176893</xdr:rowOff>
    </xdr:from>
    <xdr:to>
      <xdr:col>17</xdr:col>
      <xdr:colOff>638051</xdr:colOff>
      <xdr:row>136</xdr:row>
      <xdr:rowOff>70797</xdr:rowOff>
    </xdr:to>
    <xdr:grpSp>
      <xdr:nvGrpSpPr>
        <xdr:cNvPr id="227" name="Groupe 226">
          <a:extLst>
            <a:ext uri="{FF2B5EF4-FFF2-40B4-BE49-F238E27FC236}">
              <a16:creationId xmlns:a16="http://schemas.microsoft.com/office/drawing/2014/main" id="{00000000-0008-0000-0C00-000015010000}"/>
            </a:ext>
          </a:extLst>
        </xdr:cNvPr>
        <xdr:cNvGrpSpPr/>
      </xdr:nvGrpSpPr>
      <xdr:grpSpPr>
        <a:xfrm>
          <a:off x="4327071" y="20369893"/>
          <a:ext cx="9264980" cy="5608904"/>
          <a:chOff x="1868762" y="4348364"/>
          <a:chExt cx="9329474" cy="5451281"/>
        </a:xfrm>
      </xdr:grpSpPr>
      <xdr:grpSp>
        <xdr:nvGrpSpPr>
          <xdr:cNvPr id="228" name="Groupe 227">
            <a:extLst>
              <a:ext uri="{FF2B5EF4-FFF2-40B4-BE49-F238E27FC236}">
                <a16:creationId xmlns:a16="http://schemas.microsoft.com/office/drawing/2014/main" id="{00000000-0008-0000-0C00-000024010000}"/>
              </a:ext>
            </a:extLst>
          </xdr:cNvPr>
          <xdr:cNvGrpSpPr/>
        </xdr:nvGrpSpPr>
        <xdr:grpSpPr>
          <a:xfrm>
            <a:off x="1868762" y="4348364"/>
            <a:ext cx="9329474" cy="5451281"/>
            <a:chOff x="1868762" y="4348364"/>
            <a:chExt cx="9329474" cy="5451281"/>
          </a:xfrm>
        </xdr:grpSpPr>
        <xdr:sp macro="" textlink="">
          <xdr:nvSpPr>
            <xdr:cNvPr id="230" name="Ellipse 229">
              <a:extLst>
                <a:ext uri="{FF2B5EF4-FFF2-40B4-BE49-F238E27FC236}">
                  <a16:creationId xmlns:a16="http://schemas.microsoft.com/office/drawing/2014/main" id="{00000000-0008-0000-0C00-00002D010000}"/>
                </a:ext>
              </a:extLst>
            </xdr:cNvPr>
            <xdr:cNvSpPr/>
          </xdr:nvSpPr>
          <xdr:spPr>
            <a:xfrm>
              <a:off x="2098485" y="4357889"/>
              <a:ext cx="1557941" cy="451834"/>
            </a:xfrm>
            <a:prstGeom prst="ellipse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100" b="1"/>
                <a:t>Entrée</a:t>
              </a:r>
            </a:p>
          </xdr:txBody>
        </xdr:sp>
        <xdr:sp macro="" textlink="">
          <xdr:nvSpPr>
            <xdr:cNvPr id="231" name="Ellipse 230">
              <a:extLst>
                <a:ext uri="{FF2B5EF4-FFF2-40B4-BE49-F238E27FC236}">
                  <a16:creationId xmlns:a16="http://schemas.microsoft.com/office/drawing/2014/main" id="{00000000-0008-0000-0C00-00002E010000}"/>
                </a:ext>
              </a:extLst>
            </xdr:cNvPr>
            <xdr:cNvSpPr/>
          </xdr:nvSpPr>
          <xdr:spPr>
            <a:xfrm>
              <a:off x="4428253" y="4376939"/>
              <a:ext cx="1557942" cy="451834"/>
            </a:xfrm>
            <a:prstGeom prst="ellipse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100" b="1"/>
                <a:t>Processus</a:t>
              </a:r>
            </a:p>
          </xdr:txBody>
        </xdr:sp>
        <xdr:sp macro="" textlink="">
          <xdr:nvSpPr>
            <xdr:cNvPr id="232" name="Ellipse 231">
              <a:extLst>
                <a:ext uri="{FF2B5EF4-FFF2-40B4-BE49-F238E27FC236}">
                  <a16:creationId xmlns:a16="http://schemas.microsoft.com/office/drawing/2014/main" id="{00000000-0008-0000-0C00-00002F010000}"/>
                </a:ext>
              </a:extLst>
            </xdr:cNvPr>
            <xdr:cNvSpPr/>
          </xdr:nvSpPr>
          <xdr:spPr>
            <a:xfrm>
              <a:off x="6758022" y="4348364"/>
              <a:ext cx="1557941" cy="451834"/>
            </a:xfrm>
            <a:prstGeom prst="ellipse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100" b="1"/>
                <a:t>Sortie </a:t>
              </a:r>
            </a:p>
          </xdr:txBody>
        </xdr:sp>
        <xdr:sp macro="" textlink="">
          <xdr:nvSpPr>
            <xdr:cNvPr id="233" name="Ellipse 232">
              <a:extLst>
                <a:ext uri="{FF2B5EF4-FFF2-40B4-BE49-F238E27FC236}">
                  <a16:creationId xmlns:a16="http://schemas.microsoft.com/office/drawing/2014/main" id="{00000000-0008-0000-0C00-000030010000}"/>
                </a:ext>
              </a:extLst>
            </xdr:cNvPr>
            <xdr:cNvSpPr/>
          </xdr:nvSpPr>
          <xdr:spPr>
            <a:xfrm>
              <a:off x="9087789" y="4367414"/>
              <a:ext cx="1557941" cy="451834"/>
            </a:xfrm>
            <a:prstGeom prst="ellipse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100" b="1"/>
                <a:t>Client</a:t>
              </a:r>
            </a:p>
          </xdr:txBody>
        </xdr:sp>
        <xdr:sp macro="" textlink="">
          <xdr:nvSpPr>
            <xdr:cNvPr id="234" name="ZoneTexte 233">
              <a:extLst>
                <a:ext uri="{FF2B5EF4-FFF2-40B4-BE49-F238E27FC236}">
                  <a16:creationId xmlns:a16="http://schemas.microsoft.com/office/drawing/2014/main" id="{00000000-0008-0000-0C00-000031010000}"/>
                </a:ext>
              </a:extLst>
            </xdr:cNvPr>
            <xdr:cNvSpPr txBox="1"/>
          </xdr:nvSpPr>
          <xdr:spPr>
            <a:xfrm>
              <a:off x="2094823" y="5264377"/>
              <a:ext cx="1381892" cy="130302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  <a:p>
              <a:r>
                <a:rPr lang="fr-FR" sz="1100"/>
                <a:t> Résine</a:t>
              </a:r>
            </a:p>
            <a:p>
              <a:r>
                <a:rPr lang="fr-FR" sz="1100"/>
                <a:t>Carbone noir</a:t>
              </a:r>
            </a:p>
            <a:p>
              <a:r>
                <a:rPr lang="fr-FR" sz="1100"/>
                <a:t>Cire</a:t>
              </a:r>
            </a:p>
            <a:p>
              <a:r>
                <a:rPr lang="fr-FR" sz="1100"/>
                <a:t>Dioxide de Tythan</a:t>
              </a:r>
            </a:p>
            <a:p>
              <a:r>
                <a:rPr lang="fr-FR" sz="1100"/>
                <a:t>Lubricarbone</a:t>
              </a:r>
            </a:p>
            <a:p>
              <a:r>
                <a:rPr lang="fr-FR" sz="1100" u="sng"/>
                <a:t>Pigment</a:t>
              </a:r>
              <a:r>
                <a:rPr lang="fr-FR" sz="1100" u="sng" baseline="0"/>
                <a:t> orange</a:t>
              </a:r>
              <a:endParaRPr lang="fr-FR" sz="1100" u="sng"/>
            </a:p>
            <a:p>
              <a:endParaRPr lang="fr-FR" sz="1100"/>
            </a:p>
            <a:p>
              <a:endParaRPr lang="fr-FR" sz="1100"/>
            </a:p>
          </xdr:txBody>
        </xdr:sp>
        <xdr:grpSp>
          <xdr:nvGrpSpPr>
            <xdr:cNvPr id="235" name="Groupe 234">
              <a:extLst>
                <a:ext uri="{FF2B5EF4-FFF2-40B4-BE49-F238E27FC236}">
                  <a16:creationId xmlns:a16="http://schemas.microsoft.com/office/drawing/2014/main" id="{00000000-0008-0000-0C00-000032010000}"/>
                </a:ext>
              </a:extLst>
            </xdr:cNvPr>
            <xdr:cNvGrpSpPr/>
          </xdr:nvGrpSpPr>
          <xdr:grpSpPr>
            <a:xfrm>
              <a:off x="4471114" y="4959439"/>
              <a:ext cx="1756049" cy="668611"/>
              <a:chOff x="4457700" y="5029199"/>
              <a:chExt cx="1749434" cy="676079"/>
            </a:xfrm>
          </xdr:grpSpPr>
          <xdr:sp macro="" textlink="">
            <xdr:nvSpPr>
              <xdr:cNvPr id="262" name="Rectangle 261">
                <a:extLst>
                  <a:ext uri="{FF2B5EF4-FFF2-40B4-BE49-F238E27FC236}">
                    <a16:creationId xmlns:a16="http://schemas.microsoft.com/office/drawing/2014/main" id="{00000000-0008-0000-0C00-000057010000}"/>
                  </a:ext>
                </a:extLst>
              </xdr:cNvPr>
              <xdr:cNvSpPr/>
            </xdr:nvSpPr>
            <xdr:spPr>
              <a:xfrm>
                <a:off x="4457700" y="5029199"/>
                <a:ext cx="1735383" cy="676079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63" name="Losange 262">
                <a:extLst>
                  <a:ext uri="{FF2B5EF4-FFF2-40B4-BE49-F238E27FC236}">
                    <a16:creationId xmlns:a16="http://schemas.microsoft.com/office/drawing/2014/main" id="{00000000-0008-0000-0C00-000058010000}"/>
                  </a:ext>
                </a:extLst>
              </xdr:cNvPr>
              <xdr:cNvSpPr/>
            </xdr:nvSpPr>
            <xdr:spPr>
              <a:xfrm>
                <a:off x="4495799" y="5038724"/>
                <a:ext cx="1711335" cy="652791"/>
              </a:xfrm>
              <a:prstGeom prst="diamond">
                <a:avLst/>
              </a:prstGeom>
              <a:ln/>
            </xdr:spPr>
            <xdr:style>
              <a:lnRef idx="2">
                <a:schemeClr val="accent2"/>
              </a:lnRef>
              <a:fillRef idx="1">
                <a:schemeClr val="lt1"/>
              </a:fillRef>
              <a:effectRef idx="0">
                <a:schemeClr val="accent2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fr-FR" sz="1100"/>
                  <a:t>Mélangeur</a:t>
                </a:r>
              </a:p>
            </xdr:txBody>
          </xdr:sp>
        </xdr:grpSp>
        <xdr:sp macro="" textlink="">
          <xdr:nvSpPr>
            <xdr:cNvPr id="236" name="Flèche : bas 306">
              <a:extLst>
                <a:ext uri="{FF2B5EF4-FFF2-40B4-BE49-F238E27FC236}">
                  <a16:creationId xmlns:a16="http://schemas.microsoft.com/office/drawing/2014/main" id="{00000000-0008-0000-0C00-000033010000}"/>
                </a:ext>
              </a:extLst>
            </xdr:cNvPr>
            <xdr:cNvSpPr/>
          </xdr:nvSpPr>
          <xdr:spPr>
            <a:xfrm>
              <a:off x="5314753" y="5596440"/>
              <a:ext cx="104775" cy="254492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7" name="Triangle isocèle 236">
              <a:extLst>
                <a:ext uri="{FF2B5EF4-FFF2-40B4-BE49-F238E27FC236}">
                  <a16:creationId xmlns:a16="http://schemas.microsoft.com/office/drawing/2014/main" id="{00000000-0008-0000-0C00-000034010000}"/>
                </a:ext>
              </a:extLst>
            </xdr:cNvPr>
            <xdr:cNvSpPr/>
          </xdr:nvSpPr>
          <xdr:spPr>
            <a:xfrm rot="10800000">
              <a:off x="4546941" y="6588304"/>
              <a:ext cx="1553273" cy="496412"/>
            </a:xfrm>
            <a:prstGeom prst="triangle">
              <a:avLst>
                <a:gd name="adj" fmla="val 52418"/>
              </a:avLst>
            </a:prstGeom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238" name="Groupe 237">
              <a:extLst>
                <a:ext uri="{FF2B5EF4-FFF2-40B4-BE49-F238E27FC236}">
                  <a16:creationId xmlns:a16="http://schemas.microsoft.com/office/drawing/2014/main" id="{00000000-0008-0000-0C00-000035010000}"/>
                </a:ext>
              </a:extLst>
            </xdr:cNvPr>
            <xdr:cNvGrpSpPr/>
          </xdr:nvGrpSpPr>
          <xdr:grpSpPr>
            <a:xfrm>
              <a:off x="4702470" y="5900126"/>
              <a:ext cx="1310292" cy="328009"/>
              <a:chOff x="4745567" y="5791290"/>
              <a:chExt cx="1304925" cy="333375"/>
            </a:xfrm>
          </xdr:grpSpPr>
          <xdr:sp macro="" textlink="">
            <xdr:nvSpPr>
              <xdr:cNvPr id="260" name="Flèche : pentagone 340">
                <a:extLst>
                  <a:ext uri="{FF2B5EF4-FFF2-40B4-BE49-F238E27FC236}">
                    <a16:creationId xmlns:a16="http://schemas.microsoft.com/office/drawing/2014/main" id="{00000000-0008-0000-0C00-000055010000}"/>
                  </a:ext>
                </a:extLst>
              </xdr:cNvPr>
              <xdr:cNvSpPr/>
            </xdr:nvSpPr>
            <xdr:spPr>
              <a:xfrm>
                <a:off x="4745567" y="5791290"/>
                <a:ext cx="1304925" cy="333375"/>
              </a:xfrm>
              <a:prstGeom prst="homePlate">
                <a:avLst/>
              </a:prstGeom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pic>
            <xdr:nvPicPr>
              <xdr:cNvPr id="261" name="Image 260">
                <a:extLst>
                  <a:ext uri="{FF2B5EF4-FFF2-40B4-BE49-F238E27FC236}">
                    <a16:creationId xmlns:a16="http://schemas.microsoft.com/office/drawing/2014/main" id="{00000000-0008-0000-0C00-000056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4997256" y="5871806"/>
                <a:ext cx="725487" cy="238125"/>
              </a:xfrm>
              <a:prstGeom prst="rect">
                <a:avLst/>
              </a:prstGeom>
            </xdr:spPr>
          </xdr:pic>
        </xdr:grpSp>
        <xdr:grpSp>
          <xdr:nvGrpSpPr>
            <xdr:cNvPr id="239" name="Groupe 238">
              <a:extLst>
                <a:ext uri="{FF2B5EF4-FFF2-40B4-BE49-F238E27FC236}">
                  <a16:creationId xmlns:a16="http://schemas.microsoft.com/office/drawing/2014/main" id="{00000000-0008-0000-0C00-000037010000}"/>
                </a:ext>
              </a:extLst>
            </xdr:cNvPr>
            <xdr:cNvGrpSpPr/>
          </xdr:nvGrpSpPr>
          <xdr:grpSpPr>
            <a:xfrm>
              <a:off x="4222749" y="7937407"/>
              <a:ext cx="2008302" cy="601551"/>
              <a:chOff x="4497576" y="5568101"/>
              <a:chExt cx="1419225" cy="476250"/>
            </a:xfrm>
          </xdr:grpSpPr>
          <xdr:sp macro="" textlink="">
            <xdr:nvSpPr>
              <xdr:cNvPr id="258" name="Rectangle 257">
                <a:extLst>
                  <a:ext uri="{FF2B5EF4-FFF2-40B4-BE49-F238E27FC236}">
                    <a16:creationId xmlns:a16="http://schemas.microsoft.com/office/drawing/2014/main" id="{00000000-0008-0000-0C00-000053010000}"/>
                  </a:ext>
                </a:extLst>
              </xdr:cNvPr>
              <xdr:cNvSpPr/>
            </xdr:nvSpPr>
            <xdr:spPr>
              <a:xfrm>
                <a:off x="4497576" y="5568101"/>
                <a:ext cx="1419225" cy="476250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59" name="Losange 258">
                <a:extLst>
                  <a:ext uri="{FF2B5EF4-FFF2-40B4-BE49-F238E27FC236}">
                    <a16:creationId xmlns:a16="http://schemas.microsoft.com/office/drawing/2014/main" id="{00000000-0008-0000-0C00-000054010000}"/>
                  </a:ext>
                </a:extLst>
              </xdr:cNvPr>
              <xdr:cNvSpPr/>
            </xdr:nvSpPr>
            <xdr:spPr>
              <a:xfrm>
                <a:off x="4505776" y="5588405"/>
                <a:ext cx="1381125" cy="444401"/>
              </a:xfrm>
              <a:prstGeom prst="diamond">
                <a:avLst/>
              </a:prstGeom>
              <a:ln/>
            </xdr:spPr>
            <xdr:style>
              <a:lnRef idx="2">
                <a:schemeClr val="accent2"/>
              </a:lnRef>
              <a:fillRef idx="1">
                <a:schemeClr val="lt1"/>
              </a:fillRef>
              <a:effectRef idx="0">
                <a:schemeClr val="accent2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fr-FR" sz="900" baseline="0"/>
                  <a:t>Moulage </a:t>
                </a:r>
                <a:endParaRPr lang="fr-FR" sz="900"/>
              </a:p>
            </xdr:txBody>
          </xdr:sp>
        </xdr:grpSp>
        <xdr:sp macro="" textlink="">
          <xdr:nvSpPr>
            <xdr:cNvPr id="240" name="Flèche : bas 311">
              <a:extLst>
                <a:ext uri="{FF2B5EF4-FFF2-40B4-BE49-F238E27FC236}">
                  <a16:creationId xmlns:a16="http://schemas.microsoft.com/office/drawing/2014/main" id="{00000000-0008-0000-0C00-000038010000}"/>
                </a:ext>
              </a:extLst>
            </xdr:cNvPr>
            <xdr:cNvSpPr/>
          </xdr:nvSpPr>
          <xdr:spPr>
            <a:xfrm>
              <a:off x="5291124" y="6248233"/>
              <a:ext cx="104775" cy="254492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241" name="Groupe 240">
              <a:extLst>
                <a:ext uri="{FF2B5EF4-FFF2-40B4-BE49-F238E27FC236}">
                  <a16:creationId xmlns:a16="http://schemas.microsoft.com/office/drawing/2014/main" id="{00000000-0008-0000-0C00-000039010000}"/>
                </a:ext>
              </a:extLst>
            </xdr:cNvPr>
            <xdr:cNvGrpSpPr/>
          </xdr:nvGrpSpPr>
          <xdr:grpSpPr>
            <a:xfrm>
              <a:off x="4608185" y="8961053"/>
              <a:ext cx="1310292" cy="330692"/>
              <a:chOff x="4675332" y="6456005"/>
              <a:chExt cx="1304925" cy="333375"/>
            </a:xfrm>
          </xdr:grpSpPr>
          <xdr:sp macro="" textlink="">
            <xdr:nvSpPr>
              <xdr:cNvPr id="256" name="Flèche : pentagone 336">
                <a:extLst>
                  <a:ext uri="{FF2B5EF4-FFF2-40B4-BE49-F238E27FC236}">
                    <a16:creationId xmlns:a16="http://schemas.microsoft.com/office/drawing/2014/main" id="{00000000-0008-0000-0C00-000051010000}"/>
                  </a:ext>
                </a:extLst>
              </xdr:cNvPr>
              <xdr:cNvSpPr/>
            </xdr:nvSpPr>
            <xdr:spPr>
              <a:xfrm>
                <a:off x="4675332" y="6456005"/>
                <a:ext cx="1304925" cy="333375"/>
              </a:xfrm>
              <a:prstGeom prst="homePlate">
                <a:avLst/>
              </a:prstGeom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pic>
            <xdr:nvPicPr>
              <xdr:cNvPr id="257" name="Image 256">
                <a:extLst>
                  <a:ext uri="{FF2B5EF4-FFF2-40B4-BE49-F238E27FC236}">
                    <a16:creationId xmlns:a16="http://schemas.microsoft.com/office/drawing/2014/main" id="{00000000-0008-0000-0C00-000052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4941068" y="6508957"/>
                <a:ext cx="725487" cy="238125"/>
              </a:xfrm>
              <a:prstGeom prst="rect">
                <a:avLst/>
              </a:prstGeom>
            </xdr:spPr>
          </xdr:pic>
        </xdr:grpSp>
        <xdr:sp macro="" textlink="">
          <xdr:nvSpPr>
            <xdr:cNvPr id="242" name="Flèche : bas 314">
              <a:extLst>
                <a:ext uri="{FF2B5EF4-FFF2-40B4-BE49-F238E27FC236}">
                  <a16:creationId xmlns:a16="http://schemas.microsoft.com/office/drawing/2014/main" id="{00000000-0008-0000-0C00-00003B010000}"/>
                </a:ext>
              </a:extLst>
            </xdr:cNvPr>
            <xdr:cNvSpPr/>
          </xdr:nvSpPr>
          <xdr:spPr>
            <a:xfrm>
              <a:off x="5136781" y="8623439"/>
              <a:ext cx="104775" cy="254492"/>
            </a:xfrm>
            <a:prstGeom prst="down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243" name="Groupe 242">
              <a:extLst>
                <a:ext uri="{FF2B5EF4-FFF2-40B4-BE49-F238E27FC236}">
                  <a16:creationId xmlns:a16="http://schemas.microsoft.com/office/drawing/2014/main" id="{00000000-0008-0000-0C00-00003D010000}"/>
                </a:ext>
              </a:extLst>
            </xdr:cNvPr>
            <xdr:cNvGrpSpPr/>
          </xdr:nvGrpSpPr>
          <xdr:grpSpPr>
            <a:xfrm>
              <a:off x="3365503" y="5160529"/>
              <a:ext cx="1143946" cy="528175"/>
              <a:chOff x="3333672" y="5373891"/>
              <a:chExt cx="1136266" cy="552425"/>
            </a:xfrm>
          </xdr:grpSpPr>
          <xdr:cxnSp macro="">
            <xdr:nvCxnSpPr>
              <xdr:cNvPr id="254" name="Connecteur droit avec flèche 253">
                <a:extLst>
                  <a:ext uri="{FF2B5EF4-FFF2-40B4-BE49-F238E27FC236}">
                    <a16:creationId xmlns:a16="http://schemas.microsoft.com/office/drawing/2014/main" id="{00000000-0008-0000-0C00-00004E010000}"/>
                  </a:ext>
                </a:extLst>
              </xdr:cNvPr>
              <xdr:cNvCxnSpPr/>
            </xdr:nvCxnSpPr>
            <xdr:spPr>
              <a:xfrm>
                <a:off x="3333672" y="5915370"/>
                <a:ext cx="581611" cy="10946"/>
              </a:xfrm>
              <a:prstGeom prst="straightConnector1">
                <a:avLst/>
              </a:prstGeom>
              <a:ln>
                <a:prstDash val="lgDashDot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5" name="Connecteur : en angle 335">
                <a:extLst>
                  <a:ext uri="{FF2B5EF4-FFF2-40B4-BE49-F238E27FC236}">
                    <a16:creationId xmlns:a16="http://schemas.microsoft.com/office/drawing/2014/main" id="{00000000-0008-0000-0C00-000050010000}"/>
                  </a:ext>
                </a:extLst>
              </xdr:cNvPr>
              <xdr:cNvCxnSpPr/>
            </xdr:nvCxnSpPr>
            <xdr:spPr>
              <a:xfrm flipV="1">
                <a:off x="3780386" y="5373891"/>
                <a:ext cx="689552" cy="545945"/>
              </a:xfrm>
              <a:prstGeom prst="bentConnector3">
                <a:avLst>
                  <a:gd name="adj1" fmla="val 50000"/>
                </a:avLst>
              </a:prstGeom>
              <a:ln>
                <a:prstDash val="lgDashDot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4" name="Connecteur droit 243">
              <a:extLst>
                <a:ext uri="{FF2B5EF4-FFF2-40B4-BE49-F238E27FC236}">
                  <a16:creationId xmlns:a16="http://schemas.microsoft.com/office/drawing/2014/main" id="{00000000-0008-0000-0C00-00003E010000}"/>
                </a:ext>
              </a:extLst>
            </xdr:cNvPr>
            <xdr:cNvCxnSpPr/>
          </xdr:nvCxnSpPr>
          <xdr:spPr>
            <a:xfrm flipH="1">
              <a:off x="3970986" y="4551399"/>
              <a:ext cx="5704" cy="5248246"/>
            </a:xfrm>
            <a:prstGeom prst="line">
              <a:avLst/>
            </a:prstGeom>
            <a:ln>
              <a:prstDash val="lg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Connecteur droit 244">
              <a:extLst>
                <a:ext uri="{FF2B5EF4-FFF2-40B4-BE49-F238E27FC236}">
                  <a16:creationId xmlns:a16="http://schemas.microsoft.com/office/drawing/2014/main" id="{00000000-0008-0000-0C00-00003F010000}"/>
                </a:ext>
              </a:extLst>
            </xdr:cNvPr>
            <xdr:cNvCxnSpPr/>
          </xdr:nvCxnSpPr>
          <xdr:spPr>
            <a:xfrm flipV="1">
              <a:off x="1868762" y="7483398"/>
              <a:ext cx="9329474" cy="21898"/>
            </a:xfrm>
            <a:prstGeom prst="line">
              <a:avLst/>
            </a:prstGeom>
            <a:ln>
              <a:prstDash val="lg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" name="Connecteur droit 245">
              <a:extLst>
                <a:ext uri="{FF2B5EF4-FFF2-40B4-BE49-F238E27FC236}">
                  <a16:creationId xmlns:a16="http://schemas.microsoft.com/office/drawing/2014/main" id="{00000000-0008-0000-0C00-000040010000}"/>
                </a:ext>
              </a:extLst>
            </xdr:cNvPr>
            <xdr:cNvCxnSpPr/>
          </xdr:nvCxnSpPr>
          <xdr:spPr>
            <a:xfrm flipH="1">
              <a:off x="6439437" y="4429272"/>
              <a:ext cx="28373" cy="5248246"/>
            </a:xfrm>
            <a:prstGeom prst="line">
              <a:avLst/>
            </a:prstGeom>
            <a:ln>
              <a:prstDash val="lg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7" name="Connecteur droit 246">
              <a:extLst>
                <a:ext uri="{FF2B5EF4-FFF2-40B4-BE49-F238E27FC236}">
                  <a16:creationId xmlns:a16="http://schemas.microsoft.com/office/drawing/2014/main" id="{00000000-0008-0000-0C00-000041010000}"/>
                </a:ext>
              </a:extLst>
            </xdr:cNvPr>
            <xdr:cNvCxnSpPr/>
          </xdr:nvCxnSpPr>
          <xdr:spPr>
            <a:xfrm>
              <a:off x="8663324" y="4451170"/>
              <a:ext cx="16500" cy="5248246"/>
            </a:xfrm>
            <a:prstGeom prst="line">
              <a:avLst/>
            </a:prstGeom>
            <a:ln>
              <a:prstDash val="lg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8" name="ZoneTexte 247">
              <a:extLst>
                <a:ext uri="{FF2B5EF4-FFF2-40B4-BE49-F238E27FC236}">
                  <a16:creationId xmlns:a16="http://schemas.microsoft.com/office/drawing/2014/main" id="{00000000-0008-0000-0C00-000043010000}"/>
                </a:ext>
              </a:extLst>
            </xdr:cNvPr>
            <xdr:cNvSpPr txBox="1"/>
          </xdr:nvSpPr>
          <xdr:spPr>
            <a:xfrm>
              <a:off x="6763415" y="5224328"/>
              <a:ext cx="1878013" cy="110500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100"/>
                <a:t>Mélange Résine et accessoires</a:t>
              </a:r>
              <a:endParaRPr lang="fr-FR" sz="1100" baseline="0"/>
            </a:p>
            <a:p>
              <a:endParaRPr lang="fr-FR" sz="1100" baseline="0"/>
            </a:p>
            <a:p>
              <a:endParaRPr lang="fr-FR" sz="1100" baseline="0"/>
            </a:p>
            <a:p>
              <a:endParaRPr lang="fr-FR" sz="1100"/>
            </a:p>
            <a:p>
              <a:endParaRPr lang="fr-FR" sz="1100"/>
            </a:p>
            <a:p>
              <a:endParaRPr lang="fr-FR" sz="1100"/>
            </a:p>
          </xdr:txBody>
        </xdr:sp>
        <xdr:sp macro="" textlink="">
          <xdr:nvSpPr>
            <xdr:cNvPr id="249" name="ZoneTexte 248">
              <a:extLst>
                <a:ext uri="{FF2B5EF4-FFF2-40B4-BE49-F238E27FC236}">
                  <a16:creationId xmlns:a16="http://schemas.microsoft.com/office/drawing/2014/main" id="{00000000-0008-0000-0C00-000044010000}"/>
                </a:ext>
              </a:extLst>
            </xdr:cNvPr>
            <xdr:cNvSpPr txBox="1"/>
          </xdr:nvSpPr>
          <xdr:spPr>
            <a:xfrm>
              <a:off x="6708673" y="7972983"/>
              <a:ext cx="1529365" cy="1383692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endParaRPr lang="fr-FR" sz="1100"/>
            </a:p>
            <a:p>
              <a:endParaRPr lang="fr-FR" sz="1100"/>
            </a:p>
            <a:p>
              <a:pPr algn="ctr"/>
              <a:endParaRPr lang="fr-FR" sz="1100"/>
            </a:p>
            <a:p>
              <a:pPr algn="ctr"/>
              <a:r>
                <a:rPr lang="fr-FR" sz="1100"/>
                <a:t>Tubes PVC</a:t>
              </a:r>
              <a:r>
                <a:rPr lang="fr-FR" sz="1100" baseline="0"/>
                <a:t> </a:t>
              </a:r>
            </a:p>
            <a:p>
              <a:pPr algn="ctr"/>
              <a:r>
                <a:rPr lang="fr-FR" sz="1100" baseline="0"/>
                <a:t>de  200 - 500</a:t>
              </a:r>
              <a:endParaRPr lang="fr-FR" sz="1100"/>
            </a:p>
            <a:p>
              <a:endParaRPr lang="fr-FR" sz="1100"/>
            </a:p>
            <a:p>
              <a:endParaRPr lang="fr-FR" sz="1100"/>
            </a:p>
            <a:p>
              <a:endParaRPr lang="fr-FR" sz="1100"/>
            </a:p>
          </xdr:txBody>
        </xdr:sp>
        <xdr:sp macro="" textlink="">
          <xdr:nvSpPr>
            <xdr:cNvPr id="250" name="ZoneTexte 249">
              <a:extLst>
                <a:ext uri="{FF2B5EF4-FFF2-40B4-BE49-F238E27FC236}">
                  <a16:creationId xmlns:a16="http://schemas.microsoft.com/office/drawing/2014/main" id="{00000000-0008-0000-0C00-000046010000}"/>
                </a:ext>
              </a:extLst>
            </xdr:cNvPr>
            <xdr:cNvSpPr txBox="1"/>
          </xdr:nvSpPr>
          <xdr:spPr>
            <a:xfrm>
              <a:off x="9068411" y="5158642"/>
              <a:ext cx="1878013" cy="110500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fr-FR" sz="1100" baseline="0"/>
                <a:t>Machine PVC</a:t>
              </a:r>
            </a:p>
            <a:p>
              <a:pPr algn="ctr"/>
              <a:r>
                <a:rPr lang="fr-FR" sz="1100" baseline="0"/>
                <a:t>Buttefelt</a:t>
              </a:r>
            </a:p>
            <a:p>
              <a:endParaRPr lang="fr-FR" sz="1100" baseline="0"/>
            </a:p>
            <a:p>
              <a:endParaRPr lang="fr-FR" sz="1100" baseline="0"/>
            </a:p>
            <a:p>
              <a:endParaRPr lang="fr-FR" sz="1100"/>
            </a:p>
            <a:p>
              <a:endParaRPr lang="fr-FR" sz="1100"/>
            </a:p>
            <a:p>
              <a:endParaRPr lang="fr-FR" sz="1100"/>
            </a:p>
          </xdr:txBody>
        </xdr:sp>
        <xdr:grpSp>
          <xdr:nvGrpSpPr>
            <xdr:cNvPr id="251" name="Groupe 250">
              <a:extLst>
                <a:ext uri="{FF2B5EF4-FFF2-40B4-BE49-F238E27FC236}">
                  <a16:creationId xmlns:a16="http://schemas.microsoft.com/office/drawing/2014/main" id="{00000000-0008-0000-0C00-000048010000}"/>
                </a:ext>
              </a:extLst>
            </xdr:cNvPr>
            <xdr:cNvGrpSpPr/>
          </xdr:nvGrpSpPr>
          <xdr:grpSpPr>
            <a:xfrm>
              <a:off x="2970087" y="8282160"/>
              <a:ext cx="1222144" cy="868465"/>
              <a:chOff x="3222344" y="6135790"/>
              <a:chExt cx="1205844" cy="900075"/>
            </a:xfrm>
          </xdr:grpSpPr>
          <xdr:cxnSp macro="">
            <xdr:nvCxnSpPr>
              <xdr:cNvPr id="252" name="Connecteur droit avec flèche 251">
                <a:extLst>
                  <a:ext uri="{FF2B5EF4-FFF2-40B4-BE49-F238E27FC236}">
                    <a16:creationId xmlns:a16="http://schemas.microsoft.com/office/drawing/2014/main" id="{00000000-0008-0000-0C00-00004A010000}"/>
                  </a:ext>
                </a:extLst>
              </xdr:cNvPr>
              <xdr:cNvCxnSpPr/>
            </xdr:nvCxnSpPr>
            <xdr:spPr>
              <a:xfrm>
                <a:off x="3222344" y="6477302"/>
                <a:ext cx="581611" cy="10946"/>
              </a:xfrm>
              <a:prstGeom prst="straightConnector1">
                <a:avLst/>
              </a:prstGeom>
              <a:ln>
                <a:prstDash val="lgDashDot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3" name="Connecteur : en angle 331">
                <a:extLst>
                  <a:ext uri="{FF2B5EF4-FFF2-40B4-BE49-F238E27FC236}">
                    <a16:creationId xmlns:a16="http://schemas.microsoft.com/office/drawing/2014/main" id="{00000000-0008-0000-0C00-00004C010000}"/>
                  </a:ext>
                </a:extLst>
              </xdr:cNvPr>
              <xdr:cNvCxnSpPr/>
            </xdr:nvCxnSpPr>
            <xdr:spPr>
              <a:xfrm rot="5400000" flipH="1" flipV="1">
                <a:off x="3684400" y="6292078"/>
                <a:ext cx="900075" cy="587500"/>
              </a:xfrm>
              <a:prstGeom prst="bentConnector2">
                <a:avLst/>
              </a:prstGeom>
              <a:ln>
                <a:prstDash val="lgDashDot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229" name="ZoneTexte 228">
            <a:extLst>
              <a:ext uri="{FF2B5EF4-FFF2-40B4-BE49-F238E27FC236}">
                <a16:creationId xmlns:a16="http://schemas.microsoft.com/office/drawing/2014/main" id="{00000000-0008-0000-0C00-000018010000}"/>
              </a:ext>
            </a:extLst>
          </xdr:cNvPr>
          <xdr:cNvSpPr txBox="1"/>
        </xdr:nvSpPr>
        <xdr:spPr>
          <a:xfrm>
            <a:off x="5062473" y="6652761"/>
            <a:ext cx="529980" cy="25498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/>
              <a:t>Stock</a:t>
            </a:r>
          </a:p>
        </xdr:txBody>
      </xdr:sp>
    </xdr:grpSp>
    <xdr:clientData/>
  </xdr:twoCellAnchor>
  <xdr:twoCellAnchor>
    <xdr:from>
      <xdr:col>5</xdr:col>
      <xdr:colOff>244928</xdr:colOff>
      <xdr:row>123</xdr:row>
      <xdr:rowOff>163285</xdr:rowOff>
    </xdr:from>
    <xdr:to>
      <xdr:col>6</xdr:col>
      <xdr:colOff>715575</xdr:colOff>
      <xdr:row>131</xdr:row>
      <xdr:rowOff>64731</xdr:rowOff>
    </xdr:to>
    <xdr:sp macro="" textlink="">
      <xdr:nvSpPr>
        <xdr:cNvPr id="264" name="ZoneTexte 263">
          <a:extLst>
            <a:ext uri="{FF2B5EF4-FFF2-40B4-BE49-F238E27FC236}">
              <a16:creationId xmlns:a16="http://schemas.microsoft.com/office/drawing/2014/main" id="{00000000-0008-0000-0C00-000045010000}"/>
            </a:ext>
          </a:extLst>
        </xdr:cNvPr>
        <xdr:cNvSpPr txBox="1"/>
      </xdr:nvSpPr>
      <xdr:spPr>
        <a:xfrm>
          <a:off x="4054928" y="23594785"/>
          <a:ext cx="1232647" cy="14254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/>
        </a:p>
        <a:p>
          <a:endParaRPr lang="fr-FR" sz="1100"/>
        </a:p>
        <a:p>
          <a:r>
            <a:rPr lang="fr-FR" sz="1100"/>
            <a:t>Mélange de</a:t>
          </a:r>
          <a:r>
            <a:rPr lang="fr-FR" sz="1100" baseline="0"/>
            <a:t> la résine et des accessoires</a:t>
          </a:r>
          <a:endParaRPr lang="fr-FR" sz="1100"/>
        </a:p>
        <a:p>
          <a:endParaRPr lang="fr-FR" sz="1100"/>
        </a:p>
      </xdr:txBody>
    </xdr:sp>
    <xdr:clientData/>
  </xdr:twoCellAnchor>
  <xdr:twoCellAnchor>
    <xdr:from>
      <xdr:col>15</xdr:col>
      <xdr:colOff>68036</xdr:colOff>
      <xdr:row>127</xdr:row>
      <xdr:rowOff>0</xdr:rowOff>
    </xdr:from>
    <xdr:to>
      <xdr:col>17</xdr:col>
      <xdr:colOff>409066</xdr:colOff>
      <xdr:row>131</xdr:row>
      <xdr:rowOff>40991</xdr:rowOff>
    </xdr:to>
    <xdr:sp macro="" textlink="">
      <xdr:nvSpPr>
        <xdr:cNvPr id="265" name="ZoneTexte 264">
          <a:extLst>
            <a:ext uri="{FF2B5EF4-FFF2-40B4-BE49-F238E27FC236}">
              <a16:creationId xmlns:a16="http://schemas.microsoft.com/office/drawing/2014/main" id="{00000000-0008-0000-0C00-000047010000}"/>
            </a:ext>
          </a:extLst>
        </xdr:cNvPr>
        <xdr:cNvSpPr txBox="1"/>
      </xdr:nvSpPr>
      <xdr:spPr>
        <a:xfrm>
          <a:off x="11498036" y="24193500"/>
          <a:ext cx="1865030" cy="8029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/>
        </a:p>
        <a:p>
          <a:pPr algn="ctr"/>
          <a:r>
            <a:rPr lang="fr-FR" sz="1100"/>
            <a:t>Zone d'éxpédition</a:t>
          </a:r>
        </a:p>
        <a:p>
          <a:endParaRPr lang="fr-FR" sz="1100" baseline="0"/>
        </a:p>
        <a:p>
          <a:endParaRPr lang="fr-FR" sz="1100" baseline="0"/>
        </a:p>
        <a:p>
          <a:endParaRPr lang="fr-FR" sz="1100" baseline="0"/>
        </a:p>
        <a:p>
          <a:endParaRPr lang="fr-FR" sz="1100" baseline="0"/>
        </a:p>
        <a:p>
          <a:endParaRPr lang="fr-FR" sz="1100"/>
        </a:p>
        <a:p>
          <a:endParaRPr lang="fr-FR" sz="1100"/>
        </a:p>
        <a:p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533400</xdr:colOff>
          <xdr:row>2</xdr:row>
          <xdr:rowOff>161925</xdr:rowOff>
        </xdr:from>
        <xdr:to>
          <xdr:col>22</xdr:col>
          <xdr:colOff>609600</xdr:colOff>
          <xdr:row>5</xdr:row>
          <xdr:rowOff>57150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328563</xdr:colOff>
      <xdr:row>12</xdr:row>
      <xdr:rowOff>1443</xdr:rowOff>
    </xdr:from>
    <xdr:to>
      <xdr:col>33</xdr:col>
      <xdr:colOff>153771</xdr:colOff>
      <xdr:row>54</xdr:row>
      <xdr:rowOff>65177</xdr:rowOff>
    </xdr:to>
    <xdr:grpSp>
      <xdr:nvGrpSpPr>
        <xdr:cNvPr id="2" name="Groupe 1"/>
        <xdr:cNvGrpSpPr/>
      </xdr:nvGrpSpPr>
      <xdr:grpSpPr>
        <a:xfrm>
          <a:off x="4900563" y="2287443"/>
          <a:ext cx="20399208" cy="8064734"/>
          <a:chOff x="5061751" y="2716744"/>
          <a:chExt cx="20593410" cy="7743157"/>
        </a:xfrm>
      </xdr:grpSpPr>
      <xdr:grpSp>
        <xdr:nvGrpSpPr>
          <xdr:cNvPr id="3" name="Groupe 2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GrpSpPr/>
        </xdr:nvGrpSpPr>
        <xdr:grpSpPr>
          <a:xfrm>
            <a:off x="5061751" y="2716744"/>
            <a:ext cx="20593410" cy="7743157"/>
            <a:chOff x="4981770" y="2477377"/>
            <a:chExt cx="20269741" cy="7229819"/>
          </a:xfrm>
        </xdr:grpSpPr>
        <xdr:sp macro="" textlink="">
          <xdr:nvSpPr>
            <xdr:cNvPr id="6" name="ZoneTexte 5">
              <a:extLst>
                <a:ext uri="{FF2B5EF4-FFF2-40B4-BE49-F238E27FC236}">
                  <a16:creationId xmlns:a16="http://schemas.microsoft.com/office/drawing/2014/main" id="{00000000-0008-0000-0F00-00000B000000}"/>
                </a:ext>
              </a:extLst>
            </xdr:cNvPr>
            <xdr:cNvSpPr txBox="1"/>
          </xdr:nvSpPr>
          <xdr:spPr>
            <a:xfrm>
              <a:off x="10394363" y="7936505"/>
              <a:ext cx="3348015" cy="650291"/>
            </a:xfrm>
            <a:prstGeom prst="rect">
              <a:avLst/>
            </a:prstGeom>
            <a:solidFill>
              <a:srgbClr val="4F81BD"/>
            </a:solidFill>
            <a:ln w="25400" cap="flat" cmpd="sng" algn="ctr">
              <a:solidFill>
                <a:srgbClr val="4F81BD">
                  <a:shade val="50000"/>
                </a:srgbClr>
              </a:solidFill>
              <a:prstDash val="solid"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Ressources humaines </a:t>
              </a:r>
              <a:endParaRPr kumimoji="0" lang="fr-FR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  <xdr:sp macro="" textlink="">
          <xdr:nvSpPr>
            <xdr:cNvPr id="7" name="ZoneTexte 6">
              <a:extLst>
                <a:ext uri="{FF2B5EF4-FFF2-40B4-BE49-F238E27FC236}">
                  <a16:creationId xmlns:a16="http://schemas.microsoft.com/office/drawing/2014/main" id="{00000000-0008-0000-0F00-00000C000000}"/>
                </a:ext>
              </a:extLst>
            </xdr:cNvPr>
            <xdr:cNvSpPr txBox="1"/>
          </xdr:nvSpPr>
          <xdr:spPr>
            <a:xfrm>
              <a:off x="11141667" y="9023350"/>
              <a:ext cx="3676288" cy="660053"/>
            </a:xfrm>
            <a:prstGeom prst="rect">
              <a:avLst/>
            </a:prstGeom>
            <a:solidFill>
              <a:srgbClr val="4F81BD"/>
            </a:solidFill>
            <a:ln w="25400" cap="flat" cmpd="sng" algn="ctr">
              <a:solidFill>
                <a:srgbClr val="4F81BD">
                  <a:shade val="50000"/>
                </a:srgbClr>
              </a:solidFill>
              <a:prstDash val="solid"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Commerce</a:t>
              </a:r>
            </a:p>
          </xdr:txBody>
        </xdr:sp>
        <xdr:sp macro="" textlink="">
          <xdr:nvSpPr>
            <xdr:cNvPr id="8" name="ZoneTexte 7">
              <a:extLst>
                <a:ext uri="{FF2B5EF4-FFF2-40B4-BE49-F238E27FC236}">
                  <a16:creationId xmlns:a16="http://schemas.microsoft.com/office/drawing/2014/main" id="{00000000-0008-0000-0F00-00000D000000}"/>
                </a:ext>
              </a:extLst>
            </xdr:cNvPr>
            <xdr:cNvSpPr txBox="1"/>
          </xdr:nvSpPr>
          <xdr:spPr>
            <a:xfrm>
              <a:off x="14302777" y="7969843"/>
              <a:ext cx="3318565" cy="650291"/>
            </a:xfrm>
            <a:prstGeom prst="rect">
              <a:avLst/>
            </a:prstGeom>
            <a:solidFill>
              <a:srgbClr val="4F81BD"/>
            </a:solidFill>
            <a:ln w="25400" cap="flat" cmpd="sng" algn="ctr">
              <a:solidFill>
                <a:srgbClr val="4F81BD">
                  <a:shade val="50000"/>
                </a:srgbClr>
              </a:solidFill>
              <a:prstDash val="solid"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Production</a:t>
              </a:r>
            </a:p>
          </xdr:txBody>
        </xdr:sp>
        <xdr:sp macro="" textlink="">
          <xdr:nvSpPr>
            <xdr:cNvPr id="9" name="ZoneTexte 8">
              <a:extLst>
                <a:ext uri="{FF2B5EF4-FFF2-40B4-BE49-F238E27FC236}">
                  <a16:creationId xmlns:a16="http://schemas.microsoft.com/office/drawing/2014/main" id="{00000000-0008-0000-0F00-00000E000000}"/>
                </a:ext>
              </a:extLst>
            </xdr:cNvPr>
            <xdr:cNvSpPr txBox="1"/>
          </xdr:nvSpPr>
          <xdr:spPr>
            <a:xfrm>
              <a:off x="18176856" y="8007982"/>
              <a:ext cx="2924059" cy="650291"/>
            </a:xfrm>
            <a:prstGeom prst="rect">
              <a:avLst/>
            </a:prstGeom>
            <a:solidFill>
              <a:srgbClr val="4F81BD"/>
            </a:solidFill>
            <a:ln w="25400" cap="flat" cmpd="sng" algn="ctr">
              <a:solidFill>
                <a:srgbClr val="4F81BD">
                  <a:shade val="50000"/>
                </a:srgbClr>
              </a:solidFill>
              <a:prstDash val="solid"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Qualité</a:t>
              </a:r>
              <a:endParaRPr kumimoji="0" lang="fr-FR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  <xdr:sp macro="" textlink="">
          <xdr:nvSpPr>
            <xdr:cNvPr id="10" name="ZoneTexte 9">
              <a:extLst>
                <a:ext uri="{FF2B5EF4-FFF2-40B4-BE49-F238E27FC236}">
                  <a16:creationId xmlns:a16="http://schemas.microsoft.com/office/drawing/2014/main" id="{00000000-0008-0000-0F00-00000F000000}"/>
                </a:ext>
              </a:extLst>
            </xdr:cNvPr>
            <xdr:cNvSpPr txBox="1"/>
          </xdr:nvSpPr>
          <xdr:spPr>
            <a:xfrm>
              <a:off x="15322140" y="9056905"/>
              <a:ext cx="4167415" cy="650291"/>
            </a:xfrm>
            <a:prstGeom prst="rect">
              <a:avLst/>
            </a:prstGeom>
            <a:solidFill>
              <a:srgbClr val="4F81BD"/>
            </a:solidFill>
            <a:ln w="25400" cap="flat" cmpd="sng" algn="ctr">
              <a:solidFill>
                <a:srgbClr val="4F81BD">
                  <a:shade val="50000"/>
                </a:srgbClr>
              </a:solidFill>
              <a:prstDash val="solid"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Maintenance</a:t>
              </a:r>
            </a:p>
          </xdr:txBody>
        </xdr:sp>
        <xdr:grpSp>
          <xdr:nvGrpSpPr>
            <xdr:cNvPr id="11" name="Groupe 10">
              <a:extLst>
                <a:ext uri="{FF2B5EF4-FFF2-40B4-BE49-F238E27FC236}">
                  <a16:creationId xmlns:a16="http://schemas.microsoft.com/office/drawing/2014/main" id="{00000000-0008-0000-0F00-000010000000}"/>
                </a:ext>
              </a:extLst>
            </xdr:cNvPr>
            <xdr:cNvGrpSpPr/>
          </xdr:nvGrpSpPr>
          <xdr:grpSpPr>
            <a:xfrm>
              <a:off x="4981770" y="2477377"/>
              <a:ext cx="20269741" cy="4974723"/>
              <a:chOff x="4981770" y="2477377"/>
              <a:chExt cx="20269741" cy="4974723"/>
            </a:xfrm>
          </xdr:grpSpPr>
          <xdr:sp macro="" textlink="">
            <xdr:nvSpPr>
              <xdr:cNvPr id="14" name="ZoneTexte 13">
                <a:extLst>
                  <a:ext uri="{FF2B5EF4-FFF2-40B4-BE49-F238E27FC236}">
                    <a16:creationId xmlns:a16="http://schemas.microsoft.com/office/drawing/2014/main" id="{00000000-0008-0000-0F00-000014000000}"/>
                  </a:ext>
                </a:extLst>
              </xdr:cNvPr>
              <xdr:cNvSpPr txBox="1"/>
            </xdr:nvSpPr>
            <xdr:spPr>
              <a:xfrm>
                <a:off x="15410799" y="2477377"/>
                <a:ext cx="4303317" cy="400502"/>
              </a:xfrm>
              <a:prstGeom prst="rect">
                <a:avLst/>
              </a:prstGeom>
              <a:solidFill>
                <a:sysClr val="window" lastClr="FFFFFF">
                  <a:lumMod val="95000"/>
                </a:sysClr>
              </a:solidFill>
              <a:ln w="9525" cmpd="sng">
                <a:solidFill>
                  <a:sysClr val="window" lastClr="FFFFFF">
                    <a:shade val="50000"/>
                  </a:sysClr>
                </a:solidFill>
              </a:ln>
              <a:effectLst/>
            </xdr:spPr>
            <xdr:txBody>
              <a:bodyPr vertOverflow="clip" horzOverflow="clip" wrap="square" rtlCol="0" anchor="t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24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Rounded MT Bold" panose="020F0704030504030204" pitchFamily="34" charset="0"/>
                    <a:ea typeface="+mn-ea"/>
                    <a:cs typeface="+mn-cs"/>
                  </a:rPr>
                  <a:t>Pilotage &amp; Surveillance</a:t>
                </a:r>
              </a:p>
            </xdr:txBody>
          </xdr:sp>
          <xdr:sp macro="" textlink="">
            <xdr:nvSpPr>
              <xdr:cNvPr id="15" name="Flèche : chevron 20">
                <a:extLst>
                  <a:ext uri="{FF2B5EF4-FFF2-40B4-BE49-F238E27FC236}">
                    <a16:creationId xmlns:a16="http://schemas.microsoft.com/office/drawing/2014/main" id="{00000000-0008-0000-0F00-000015000000}"/>
                  </a:ext>
                </a:extLst>
              </xdr:cNvPr>
              <xdr:cNvSpPr/>
            </xdr:nvSpPr>
            <xdr:spPr>
              <a:xfrm rot="5400000">
                <a:off x="17459741" y="-1473324"/>
                <a:ext cx="669823" cy="9837617"/>
              </a:xfrm>
              <a:prstGeom prst="chevron">
                <a:avLst>
                  <a:gd name="adj" fmla="val 89260"/>
                </a:avLst>
              </a:prstGeom>
              <a:solidFill>
                <a:sysClr val="window" lastClr="FFFFFF">
                  <a:lumMod val="50000"/>
                </a:sys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16" name="Ellipse 15">
                <a:extLst>
                  <a:ext uri="{FF2B5EF4-FFF2-40B4-BE49-F238E27FC236}">
                    <a16:creationId xmlns:a16="http://schemas.microsoft.com/office/drawing/2014/main" id="{00000000-0008-0000-0F00-000017000000}"/>
                  </a:ext>
                </a:extLst>
              </xdr:cNvPr>
              <xdr:cNvSpPr/>
            </xdr:nvSpPr>
            <xdr:spPr>
              <a:xfrm>
                <a:off x="12115347" y="5014755"/>
                <a:ext cx="2461623" cy="1322488"/>
              </a:xfrm>
              <a:prstGeom prst="ellipse">
                <a:avLst/>
              </a:prstGeom>
              <a:solidFill>
                <a:srgbClr val="C0504D">
                  <a:lumMod val="60000"/>
                  <a:lumOff val="40000"/>
                </a:srgbClr>
              </a:solidFill>
              <a:ln w="25400" cap="flat" cmpd="sng" algn="ctr">
                <a:solidFill>
                  <a:srgbClr val="4F81BD">
                    <a:shade val="50000"/>
                  </a:srgb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2400" b="1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Préparation de MP</a:t>
                </a:r>
              </a:p>
            </xdr:txBody>
          </xdr:sp>
          <xdr:sp macro="" textlink="">
            <xdr:nvSpPr>
              <xdr:cNvPr id="17" name="Ellipse 16">
                <a:extLst>
                  <a:ext uri="{FF2B5EF4-FFF2-40B4-BE49-F238E27FC236}">
                    <a16:creationId xmlns:a16="http://schemas.microsoft.com/office/drawing/2014/main" id="{00000000-0008-0000-0F00-000018000000}"/>
                  </a:ext>
                </a:extLst>
              </xdr:cNvPr>
              <xdr:cNvSpPr/>
            </xdr:nvSpPr>
            <xdr:spPr>
              <a:xfrm>
                <a:off x="19000133" y="5185786"/>
                <a:ext cx="1971391" cy="991511"/>
              </a:xfrm>
              <a:prstGeom prst="ellipse">
                <a:avLst/>
              </a:prstGeom>
              <a:solidFill>
                <a:srgbClr val="8064A2">
                  <a:lumMod val="60000"/>
                  <a:lumOff val="40000"/>
                </a:srgbClr>
              </a:solidFill>
              <a:ln w="25400" cap="flat" cmpd="sng" algn="ctr">
                <a:solidFill>
                  <a:srgbClr val="4F81BD">
                    <a:shade val="50000"/>
                  </a:srgbClr>
                </a:solidFill>
                <a:prstDash val="solid"/>
              </a:ln>
              <a:effectLst/>
            </xdr:spPr>
            <xdr:txBody>
              <a:bodyPr vertOverflow="clip" horzOverflow="clip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2400" b="1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Injection</a:t>
                </a:r>
              </a:p>
            </xdr:txBody>
          </xdr:sp>
          <xdr:sp macro="" textlink="">
            <xdr:nvSpPr>
              <xdr:cNvPr id="18" name="Ellipse 17">
                <a:extLst>
                  <a:ext uri="{FF2B5EF4-FFF2-40B4-BE49-F238E27FC236}">
                    <a16:creationId xmlns:a16="http://schemas.microsoft.com/office/drawing/2014/main" id="{00000000-0008-0000-0F00-00001A000000}"/>
                  </a:ext>
                </a:extLst>
              </xdr:cNvPr>
              <xdr:cNvSpPr/>
            </xdr:nvSpPr>
            <xdr:spPr>
              <a:xfrm>
                <a:off x="15689189" y="5040399"/>
                <a:ext cx="2251947" cy="1331052"/>
              </a:xfrm>
              <a:prstGeom prst="ellipse">
                <a:avLst/>
              </a:prstGeom>
              <a:solidFill>
                <a:srgbClr val="F79646">
                  <a:lumMod val="60000"/>
                  <a:lumOff val="40000"/>
                </a:srgbClr>
              </a:solidFill>
              <a:ln w="25400" cap="flat" cmpd="sng" algn="ctr">
                <a:solidFill>
                  <a:srgbClr val="4F81BD">
                    <a:shade val="50000"/>
                  </a:srgbClr>
                </a:solidFill>
                <a:prstDash val="solid"/>
              </a:ln>
              <a:effectLst/>
            </xdr:spPr>
            <xdr:txBody>
              <a:bodyPr vertOverflow="clip" horzOverflow="clip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2400" b="1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Moulage</a:t>
                </a:r>
              </a:p>
            </xdr:txBody>
          </xdr:sp>
          <xdr:sp macro="" textlink="">
            <xdr:nvSpPr>
              <xdr:cNvPr id="19" name="Ellipse 18">
                <a:extLst>
                  <a:ext uri="{FF2B5EF4-FFF2-40B4-BE49-F238E27FC236}">
                    <a16:creationId xmlns:a16="http://schemas.microsoft.com/office/drawing/2014/main" id="{00000000-0008-0000-0F00-00001B000000}"/>
                  </a:ext>
                </a:extLst>
              </xdr:cNvPr>
              <xdr:cNvSpPr/>
            </xdr:nvSpPr>
            <xdr:spPr>
              <a:xfrm>
                <a:off x="21981376" y="5279841"/>
                <a:ext cx="1969530" cy="996512"/>
              </a:xfrm>
              <a:prstGeom prst="ellipse">
                <a:avLst/>
              </a:prstGeom>
              <a:solidFill>
                <a:srgbClr val="EEECE1">
                  <a:lumMod val="50000"/>
                </a:srgbClr>
              </a:solidFill>
              <a:ln w="25400" cap="flat" cmpd="sng" algn="ctr">
                <a:solidFill>
                  <a:srgbClr val="4F81BD">
                    <a:shade val="50000"/>
                  </a:srgbClr>
                </a:solidFill>
                <a:prstDash val="solid"/>
              </a:ln>
              <a:effectLst/>
            </xdr:spPr>
            <xdr:txBody>
              <a:bodyPr vertOverflow="clip" horzOverflow="clip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2000" b="1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Expédition</a:t>
                </a:r>
                <a:endParaRPr kumimoji="0" lang="fr-FR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0" name="Flèche : chevron 27">
                <a:extLst>
                  <a:ext uri="{FF2B5EF4-FFF2-40B4-BE49-F238E27FC236}">
                    <a16:creationId xmlns:a16="http://schemas.microsoft.com/office/drawing/2014/main" id="{00000000-0008-0000-0F00-00001C000000}"/>
                  </a:ext>
                </a:extLst>
              </xdr:cNvPr>
              <xdr:cNvSpPr/>
            </xdr:nvSpPr>
            <xdr:spPr>
              <a:xfrm rot="16200000">
                <a:off x="17472014" y="-327396"/>
                <a:ext cx="759583" cy="14799410"/>
              </a:xfrm>
              <a:prstGeom prst="chevron">
                <a:avLst>
                  <a:gd name="adj" fmla="val 89260"/>
                </a:avLst>
              </a:prstGeom>
              <a:solidFill>
                <a:sysClr val="window" lastClr="FFFFFF">
                  <a:lumMod val="50000"/>
                </a:sysClr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1" name="ZoneTexte 20">
                <a:extLst>
                  <a:ext uri="{FF2B5EF4-FFF2-40B4-BE49-F238E27FC236}">
                    <a16:creationId xmlns:a16="http://schemas.microsoft.com/office/drawing/2014/main" id="{00000000-0008-0000-0F00-000022000000}"/>
                  </a:ext>
                </a:extLst>
              </xdr:cNvPr>
              <xdr:cNvSpPr txBox="1"/>
            </xdr:nvSpPr>
            <xdr:spPr>
              <a:xfrm>
                <a:off x="4981770" y="3880927"/>
                <a:ext cx="3606464" cy="1125330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1600" b="1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Réglementation</a:t>
                </a:r>
              </a:p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FR" sz="16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1600" b="1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Clients</a:t>
                </a:r>
              </a:p>
            </xdr:txBody>
          </xdr:sp>
          <xdr:sp macro="" textlink="">
            <xdr:nvSpPr>
              <xdr:cNvPr id="22" name="Round Same Side Corner Rectangle 8">
                <a:extLst>
                  <a:ext uri="{FF2B5EF4-FFF2-40B4-BE49-F238E27FC236}">
                    <a16:creationId xmlns:a16="http://schemas.microsoft.com/office/drawing/2014/main" id="{00000000-0008-0000-0F00-000023000000}"/>
                  </a:ext>
                </a:extLst>
              </xdr:cNvPr>
              <xdr:cNvSpPr/>
            </xdr:nvSpPr>
            <xdr:spPr>
              <a:xfrm>
                <a:off x="6968757" y="4960830"/>
                <a:ext cx="340942" cy="517684"/>
              </a:xfrm>
              <a:custGeom>
                <a:avLst/>
                <a:gdLst>
                  <a:gd name="connsiteX0" fmla="*/ 280204 w 1489775"/>
                  <a:gd name="connsiteY0" fmla="*/ 750754 h 3923699"/>
                  <a:gd name="connsiteX1" fmla="*/ 1209570 w 1489775"/>
                  <a:gd name="connsiteY1" fmla="*/ 750754 h 3923699"/>
                  <a:gd name="connsiteX2" fmla="*/ 1489774 w 1489775"/>
                  <a:gd name="connsiteY2" fmla="*/ 1030958 h 3923699"/>
                  <a:gd name="connsiteX3" fmla="*/ 1489774 w 1489775"/>
                  <a:gd name="connsiteY3" fmla="*/ 1293518 h 3923699"/>
                  <a:gd name="connsiteX4" fmla="*/ 1489775 w 1489775"/>
                  <a:gd name="connsiteY4" fmla="*/ 1293518 h 3923699"/>
                  <a:gd name="connsiteX5" fmla="*/ 1489775 w 1489775"/>
                  <a:gd name="connsiteY5" fmla="*/ 2063902 h 3923699"/>
                  <a:gd name="connsiteX6" fmla="*/ 1345759 w 1489775"/>
                  <a:gd name="connsiteY6" fmla="*/ 2207918 h 3923699"/>
                  <a:gd name="connsiteX7" fmla="*/ 1201743 w 1489775"/>
                  <a:gd name="connsiteY7" fmla="*/ 2063902 h 3923699"/>
                  <a:gd name="connsiteX8" fmla="*/ 1201743 w 1489775"/>
                  <a:gd name="connsiteY8" fmla="*/ 1390678 h 3923699"/>
                  <a:gd name="connsiteX9" fmla="*/ 1158887 w 1489775"/>
                  <a:gd name="connsiteY9" fmla="*/ 1390678 h 3923699"/>
                  <a:gd name="connsiteX10" fmla="*/ 1158887 w 1489775"/>
                  <a:gd name="connsiteY10" fmla="*/ 2305078 h 3923699"/>
                  <a:gd name="connsiteX11" fmla="*/ 1151853 w 1489775"/>
                  <a:gd name="connsiteY11" fmla="*/ 3743699 h 3923699"/>
                  <a:gd name="connsiteX12" fmla="*/ 971853 w 1489775"/>
                  <a:gd name="connsiteY12" fmla="*/ 3923699 h 3923699"/>
                  <a:gd name="connsiteX13" fmla="*/ 791853 w 1489775"/>
                  <a:gd name="connsiteY13" fmla="*/ 3743699 h 3923699"/>
                  <a:gd name="connsiteX14" fmla="*/ 791853 w 1489775"/>
                  <a:gd name="connsiteY14" fmla="*/ 2305078 h 3923699"/>
                  <a:gd name="connsiteX15" fmla="*/ 683854 w 1489775"/>
                  <a:gd name="connsiteY15" fmla="*/ 2305078 h 3923699"/>
                  <a:gd name="connsiteX16" fmla="*/ 683854 w 1489775"/>
                  <a:gd name="connsiteY16" fmla="*/ 3743698 h 3923699"/>
                  <a:gd name="connsiteX17" fmla="*/ 503854 w 1489775"/>
                  <a:gd name="connsiteY17" fmla="*/ 3923698 h 3923699"/>
                  <a:gd name="connsiteX18" fmla="*/ 323854 w 1489775"/>
                  <a:gd name="connsiteY18" fmla="*/ 3743698 h 3923699"/>
                  <a:gd name="connsiteX19" fmla="*/ 323854 w 1489775"/>
                  <a:gd name="connsiteY19" fmla="*/ 2238914 h 3923699"/>
                  <a:gd name="connsiteX20" fmla="*/ 330887 w 1489775"/>
                  <a:gd name="connsiteY20" fmla="*/ 2238914 h 3923699"/>
                  <a:gd name="connsiteX21" fmla="*/ 330887 w 1489775"/>
                  <a:gd name="connsiteY21" fmla="*/ 1390678 h 3923699"/>
                  <a:gd name="connsiteX22" fmla="*/ 288033 w 1489775"/>
                  <a:gd name="connsiteY22" fmla="*/ 1390678 h 3923699"/>
                  <a:gd name="connsiteX23" fmla="*/ 288033 w 1489775"/>
                  <a:gd name="connsiteY23" fmla="*/ 2063902 h 3923699"/>
                  <a:gd name="connsiteX24" fmla="*/ 144017 w 1489775"/>
                  <a:gd name="connsiteY24" fmla="*/ 2207918 h 3923699"/>
                  <a:gd name="connsiteX25" fmla="*/ 1 w 1489775"/>
                  <a:gd name="connsiteY25" fmla="*/ 2063902 h 3923699"/>
                  <a:gd name="connsiteX26" fmla="*/ 1 w 1489775"/>
                  <a:gd name="connsiteY26" fmla="*/ 1390678 h 3923699"/>
                  <a:gd name="connsiteX27" fmla="*/ 0 w 1489775"/>
                  <a:gd name="connsiteY27" fmla="*/ 1390678 h 3923699"/>
                  <a:gd name="connsiteX28" fmla="*/ 0 w 1489775"/>
                  <a:gd name="connsiteY28" fmla="*/ 1030958 h 3923699"/>
                  <a:gd name="connsiteX29" fmla="*/ 280204 w 1489775"/>
                  <a:gd name="connsiteY29" fmla="*/ 750754 h 3923699"/>
                  <a:gd name="connsiteX30" fmla="*/ 744888 w 1489775"/>
                  <a:gd name="connsiteY30" fmla="*/ 0 h 3923699"/>
                  <a:gd name="connsiteX31" fmla="*/ 1082199 w 1489775"/>
                  <a:gd name="connsiteY31" fmla="*/ 337311 h 3923699"/>
                  <a:gd name="connsiteX32" fmla="*/ 744888 w 1489775"/>
                  <a:gd name="connsiteY32" fmla="*/ 674622 h 3923699"/>
                  <a:gd name="connsiteX33" fmla="*/ 407577 w 1489775"/>
                  <a:gd name="connsiteY33" fmla="*/ 337311 h 3923699"/>
                  <a:gd name="connsiteX34" fmla="*/ 744888 w 1489775"/>
                  <a:gd name="connsiteY34" fmla="*/ 0 h 3923699"/>
                  <a:gd name="connsiteX0" fmla="*/ 280204 w 1489775"/>
                  <a:gd name="connsiteY0" fmla="*/ 750754 h 3923699"/>
                  <a:gd name="connsiteX1" fmla="*/ 1209570 w 1489775"/>
                  <a:gd name="connsiteY1" fmla="*/ 750754 h 3923699"/>
                  <a:gd name="connsiteX2" fmla="*/ 1489774 w 1489775"/>
                  <a:gd name="connsiteY2" fmla="*/ 1030958 h 3923699"/>
                  <a:gd name="connsiteX3" fmla="*/ 1489774 w 1489775"/>
                  <a:gd name="connsiteY3" fmla="*/ 1293518 h 3923699"/>
                  <a:gd name="connsiteX4" fmla="*/ 1489775 w 1489775"/>
                  <a:gd name="connsiteY4" fmla="*/ 1293518 h 3923699"/>
                  <a:gd name="connsiteX5" fmla="*/ 1489775 w 1489775"/>
                  <a:gd name="connsiteY5" fmla="*/ 2063902 h 3923699"/>
                  <a:gd name="connsiteX6" fmla="*/ 1345759 w 1489775"/>
                  <a:gd name="connsiteY6" fmla="*/ 2207918 h 3923699"/>
                  <a:gd name="connsiteX7" fmla="*/ 1201743 w 1489775"/>
                  <a:gd name="connsiteY7" fmla="*/ 2063902 h 3923699"/>
                  <a:gd name="connsiteX8" fmla="*/ 1201743 w 1489775"/>
                  <a:gd name="connsiteY8" fmla="*/ 1390678 h 3923699"/>
                  <a:gd name="connsiteX9" fmla="*/ 1158887 w 1489775"/>
                  <a:gd name="connsiteY9" fmla="*/ 1390678 h 3923699"/>
                  <a:gd name="connsiteX10" fmla="*/ 1151853 w 1489775"/>
                  <a:gd name="connsiteY10" fmla="*/ 3743699 h 3923699"/>
                  <a:gd name="connsiteX11" fmla="*/ 971853 w 1489775"/>
                  <a:gd name="connsiteY11" fmla="*/ 3923699 h 3923699"/>
                  <a:gd name="connsiteX12" fmla="*/ 791853 w 1489775"/>
                  <a:gd name="connsiteY12" fmla="*/ 3743699 h 3923699"/>
                  <a:gd name="connsiteX13" fmla="*/ 791853 w 1489775"/>
                  <a:gd name="connsiteY13" fmla="*/ 2305078 h 3923699"/>
                  <a:gd name="connsiteX14" fmla="*/ 683854 w 1489775"/>
                  <a:gd name="connsiteY14" fmla="*/ 2305078 h 3923699"/>
                  <a:gd name="connsiteX15" fmla="*/ 683854 w 1489775"/>
                  <a:gd name="connsiteY15" fmla="*/ 3743698 h 3923699"/>
                  <a:gd name="connsiteX16" fmla="*/ 503854 w 1489775"/>
                  <a:gd name="connsiteY16" fmla="*/ 3923698 h 3923699"/>
                  <a:gd name="connsiteX17" fmla="*/ 323854 w 1489775"/>
                  <a:gd name="connsiteY17" fmla="*/ 3743698 h 3923699"/>
                  <a:gd name="connsiteX18" fmla="*/ 323854 w 1489775"/>
                  <a:gd name="connsiteY18" fmla="*/ 2238914 h 3923699"/>
                  <a:gd name="connsiteX19" fmla="*/ 330887 w 1489775"/>
                  <a:gd name="connsiteY19" fmla="*/ 2238914 h 3923699"/>
                  <a:gd name="connsiteX20" fmla="*/ 330887 w 1489775"/>
                  <a:gd name="connsiteY20" fmla="*/ 1390678 h 3923699"/>
                  <a:gd name="connsiteX21" fmla="*/ 288033 w 1489775"/>
                  <a:gd name="connsiteY21" fmla="*/ 1390678 h 3923699"/>
                  <a:gd name="connsiteX22" fmla="*/ 288033 w 1489775"/>
                  <a:gd name="connsiteY22" fmla="*/ 2063902 h 3923699"/>
                  <a:gd name="connsiteX23" fmla="*/ 144017 w 1489775"/>
                  <a:gd name="connsiteY23" fmla="*/ 2207918 h 3923699"/>
                  <a:gd name="connsiteX24" fmla="*/ 1 w 1489775"/>
                  <a:gd name="connsiteY24" fmla="*/ 2063902 h 3923699"/>
                  <a:gd name="connsiteX25" fmla="*/ 1 w 1489775"/>
                  <a:gd name="connsiteY25" fmla="*/ 1390678 h 3923699"/>
                  <a:gd name="connsiteX26" fmla="*/ 0 w 1489775"/>
                  <a:gd name="connsiteY26" fmla="*/ 1390678 h 3923699"/>
                  <a:gd name="connsiteX27" fmla="*/ 0 w 1489775"/>
                  <a:gd name="connsiteY27" fmla="*/ 1030958 h 3923699"/>
                  <a:gd name="connsiteX28" fmla="*/ 280204 w 1489775"/>
                  <a:gd name="connsiteY28" fmla="*/ 750754 h 3923699"/>
                  <a:gd name="connsiteX29" fmla="*/ 744888 w 1489775"/>
                  <a:gd name="connsiteY29" fmla="*/ 0 h 3923699"/>
                  <a:gd name="connsiteX30" fmla="*/ 1082199 w 1489775"/>
                  <a:gd name="connsiteY30" fmla="*/ 337311 h 3923699"/>
                  <a:gd name="connsiteX31" fmla="*/ 744888 w 1489775"/>
                  <a:gd name="connsiteY31" fmla="*/ 674622 h 3923699"/>
                  <a:gd name="connsiteX32" fmla="*/ 407577 w 1489775"/>
                  <a:gd name="connsiteY32" fmla="*/ 337311 h 3923699"/>
                  <a:gd name="connsiteX33" fmla="*/ 744888 w 1489775"/>
                  <a:gd name="connsiteY33" fmla="*/ 0 h 3923699"/>
                  <a:gd name="connsiteX0" fmla="*/ 280204 w 1489775"/>
                  <a:gd name="connsiteY0" fmla="*/ 750754 h 3923699"/>
                  <a:gd name="connsiteX1" fmla="*/ 1209570 w 1489775"/>
                  <a:gd name="connsiteY1" fmla="*/ 750754 h 3923699"/>
                  <a:gd name="connsiteX2" fmla="*/ 1489774 w 1489775"/>
                  <a:gd name="connsiteY2" fmla="*/ 1030958 h 3923699"/>
                  <a:gd name="connsiteX3" fmla="*/ 1489774 w 1489775"/>
                  <a:gd name="connsiteY3" fmla="*/ 1293518 h 3923699"/>
                  <a:gd name="connsiteX4" fmla="*/ 1489775 w 1489775"/>
                  <a:gd name="connsiteY4" fmla="*/ 1293518 h 3923699"/>
                  <a:gd name="connsiteX5" fmla="*/ 1489775 w 1489775"/>
                  <a:gd name="connsiteY5" fmla="*/ 2063902 h 3923699"/>
                  <a:gd name="connsiteX6" fmla="*/ 1345759 w 1489775"/>
                  <a:gd name="connsiteY6" fmla="*/ 2207918 h 3923699"/>
                  <a:gd name="connsiteX7" fmla="*/ 1201743 w 1489775"/>
                  <a:gd name="connsiteY7" fmla="*/ 2063902 h 3923699"/>
                  <a:gd name="connsiteX8" fmla="*/ 1201743 w 1489775"/>
                  <a:gd name="connsiteY8" fmla="*/ 1390678 h 3923699"/>
                  <a:gd name="connsiteX9" fmla="*/ 1158887 w 1489775"/>
                  <a:gd name="connsiteY9" fmla="*/ 1390678 h 3923699"/>
                  <a:gd name="connsiteX10" fmla="*/ 1151853 w 1489775"/>
                  <a:gd name="connsiteY10" fmla="*/ 3743699 h 3923699"/>
                  <a:gd name="connsiteX11" fmla="*/ 971853 w 1489775"/>
                  <a:gd name="connsiteY11" fmla="*/ 3923699 h 3923699"/>
                  <a:gd name="connsiteX12" fmla="*/ 791853 w 1489775"/>
                  <a:gd name="connsiteY12" fmla="*/ 3743699 h 3923699"/>
                  <a:gd name="connsiteX13" fmla="*/ 791853 w 1489775"/>
                  <a:gd name="connsiteY13" fmla="*/ 2305078 h 3923699"/>
                  <a:gd name="connsiteX14" fmla="*/ 683854 w 1489775"/>
                  <a:gd name="connsiteY14" fmla="*/ 2305078 h 3923699"/>
                  <a:gd name="connsiteX15" fmla="*/ 683854 w 1489775"/>
                  <a:gd name="connsiteY15" fmla="*/ 3743698 h 3923699"/>
                  <a:gd name="connsiteX16" fmla="*/ 503854 w 1489775"/>
                  <a:gd name="connsiteY16" fmla="*/ 3923698 h 3923699"/>
                  <a:gd name="connsiteX17" fmla="*/ 323854 w 1489775"/>
                  <a:gd name="connsiteY17" fmla="*/ 3743698 h 3923699"/>
                  <a:gd name="connsiteX18" fmla="*/ 323854 w 1489775"/>
                  <a:gd name="connsiteY18" fmla="*/ 2238914 h 3923699"/>
                  <a:gd name="connsiteX19" fmla="*/ 330887 w 1489775"/>
                  <a:gd name="connsiteY19" fmla="*/ 1390678 h 3923699"/>
                  <a:gd name="connsiteX20" fmla="*/ 288033 w 1489775"/>
                  <a:gd name="connsiteY20" fmla="*/ 1390678 h 3923699"/>
                  <a:gd name="connsiteX21" fmla="*/ 288033 w 1489775"/>
                  <a:gd name="connsiteY21" fmla="*/ 2063902 h 3923699"/>
                  <a:gd name="connsiteX22" fmla="*/ 144017 w 1489775"/>
                  <a:gd name="connsiteY22" fmla="*/ 2207918 h 3923699"/>
                  <a:gd name="connsiteX23" fmla="*/ 1 w 1489775"/>
                  <a:gd name="connsiteY23" fmla="*/ 2063902 h 3923699"/>
                  <a:gd name="connsiteX24" fmla="*/ 1 w 1489775"/>
                  <a:gd name="connsiteY24" fmla="*/ 1390678 h 3923699"/>
                  <a:gd name="connsiteX25" fmla="*/ 0 w 1489775"/>
                  <a:gd name="connsiteY25" fmla="*/ 1390678 h 3923699"/>
                  <a:gd name="connsiteX26" fmla="*/ 0 w 1489775"/>
                  <a:gd name="connsiteY26" fmla="*/ 1030958 h 3923699"/>
                  <a:gd name="connsiteX27" fmla="*/ 280204 w 1489775"/>
                  <a:gd name="connsiteY27" fmla="*/ 750754 h 3923699"/>
                  <a:gd name="connsiteX28" fmla="*/ 744888 w 1489775"/>
                  <a:gd name="connsiteY28" fmla="*/ 0 h 3923699"/>
                  <a:gd name="connsiteX29" fmla="*/ 1082199 w 1489775"/>
                  <a:gd name="connsiteY29" fmla="*/ 337311 h 3923699"/>
                  <a:gd name="connsiteX30" fmla="*/ 744888 w 1489775"/>
                  <a:gd name="connsiteY30" fmla="*/ 674622 h 3923699"/>
                  <a:gd name="connsiteX31" fmla="*/ 407577 w 1489775"/>
                  <a:gd name="connsiteY31" fmla="*/ 337311 h 3923699"/>
                  <a:gd name="connsiteX32" fmla="*/ 744888 w 1489775"/>
                  <a:gd name="connsiteY32" fmla="*/ 0 h 3923699"/>
                  <a:gd name="connsiteX0" fmla="*/ 280204 w 1489775"/>
                  <a:gd name="connsiteY0" fmla="*/ 750754 h 3923699"/>
                  <a:gd name="connsiteX1" fmla="*/ 1209570 w 1489775"/>
                  <a:gd name="connsiteY1" fmla="*/ 750754 h 3923699"/>
                  <a:gd name="connsiteX2" fmla="*/ 1489774 w 1489775"/>
                  <a:gd name="connsiteY2" fmla="*/ 1030958 h 3923699"/>
                  <a:gd name="connsiteX3" fmla="*/ 1489774 w 1489775"/>
                  <a:gd name="connsiteY3" fmla="*/ 1293518 h 3923699"/>
                  <a:gd name="connsiteX4" fmla="*/ 1489775 w 1489775"/>
                  <a:gd name="connsiteY4" fmla="*/ 1293518 h 3923699"/>
                  <a:gd name="connsiteX5" fmla="*/ 1489775 w 1489775"/>
                  <a:gd name="connsiteY5" fmla="*/ 2063902 h 3923699"/>
                  <a:gd name="connsiteX6" fmla="*/ 1345759 w 1489775"/>
                  <a:gd name="connsiteY6" fmla="*/ 2207918 h 3923699"/>
                  <a:gd name="connsiteX7" fmla="*/ 1201743 w 1489775"/>
                  <a:gd name="connsiteY7" fmla="*/ 2063902 h 3923699"/>
                  <a:gd name="connsiteX8" fmla="*/ 1201743 w 1489775"/>
                  <a:gd name="connsiteY8" fmla="*/ 1390678 h 3923699"/>
                  <a:gd name="connsiteX9" fmla="*/ 1158887 w 1489775"/>
                  <a:gd name="connsiteY9" fmla="*/ 1390678 h 3923699"/>
                  <a:gd name="connsiteX10" fmla="*/ 1151853 w 1489775"/>
                  <a:gd name="connsiteY10" fmla="*/ 3743699 h 3923699"/>
                  <a:gd name="connsiteX11" fmla="*/ 971853 w 1489775"/>
                  <a:gd name="connsiteY11" fmla="*/ 3923699 h 3923699"/>
                  <a:gd name="connsiteX12" fmla="*/ 791853 w 1489775"/>
                  <a:gd name="connsiteY12" fmla="*/ 3743699 h 3923699"/>
                  <a:gd name="connsiteX13" fmla="*/ 791853 w 1489775"/>
                  <a:gd name="connsiteY13" fmla="*/ 2305078 h 3923699"/>
                  <a:gd name="connsiteX14" fmla="*/ 683854 w 1489775"/>
                  <a:gd name="connsiteY14" fmla="*/ 2305078 h 3923699"/>
                  <a:gd name="connsiteX15" fmla="*/ 683854 w 1489775"/>
                  <a:gd name="connsiteY15" fmla="*/ 3743698 h 3923699"/>
                  <a:gd name="connsiteX16" fmla="*/ 503854 w 1489775"/>
                  <a:gd name="connsiteY16" fmla="*/ 3923698 h 3923699"/>
                  <a:gd name="connsiteX17" fmla="*/ 323854 w 1489775"/>
                  <a:gd name="connsiteY17" fmla="*/ 3743698 h 3923699"/>
                  <a:gd name="connsiteX18" fmla="*/ 330887 w 1489775"/>
                  <a:gd name="connsiteY18" fmla="*/ 1390678 h 3923699"/>
                  <a:gd name="connsiteX19" fmla="*/ 288033 w 1489775"/>
                  <a:gd name="connsiteY19" fmla="*/ 1390678 h 3923699"/>
                  <a:gd name="connsiteX20" fmla="*/ 288033 w 1489775"/>
                  <a:gd name="connsiteY20" fmla="*/ 2063902 h 3923699"/>
                  <a:gd name="connsiteX21" fmla="*/ 144017 w 1489775"/>
                  <a:gd name="connsiteY21" fmla="*/ 2207918 h 3923699"/>
                  <a:gd name="connsiteX22" fmla="*/ 1 w 1489775"/>
                  <a:gd name="connsiteY22" fmla="*/ 2063902 h 3923699"/>
                  <a:gd name="connsiteX23" fmla="*/ 1 w 1489775"/>
                  <a:gd name="connsiteY23" fmla="*/ 1390678 h 3923699"/>
                  <a:gd name="connsiteX24" fmla="*/ 0 w 1489775"/>
                  <a:gd name="connsiteY24" fmla="*/ 1390678 h 3923699"/>
                  <a:gd name="connsiteX25" fmla="*/ 0 w 1489775"/>
                  <a:gd name="connsiteY25" fmla="*/ 1030958 h 3923699"/>
                  <a:gd name="connsiteX26" fmla="*/ 280204 w 1489775"/>
                  <a:gd name="connsiteY26" fmla="*/ 750754 h 3923699"/>
                  <a:gd name="connsiteX27" fmla="*/ 744888 w 1489775"/>
                  <a:gd name="connsiteY27" fmla="*/ 0 h 3923699"/>
                  <a:gd name="connsiteX28" fmla="*/ 1082199 w 1489775"/>
                  <a:gd name="connsiteY28" fmla="*/ 337311 h 3923699"/>
                  <a:gd name="connsiteX29" fmla="*/ 744888 w 1489775"/>
                  <a:gd name="connsiteY29" fmla="*/ 674622 h 3923699"/>
                  <a:gd name="connsiteX30" fmla="*/ 407577 w 1489775"/>
                  <a:gd name="connsiteY30" fmla="*/ 337311 h 3923699"/>
                  <a:gd name="connsiteX31" fmla="*/ 744888 w 1489775"/>
                  <a:gd name="connsiteY31" fmla="*/ 0 h 392369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</a:cxnLst>
                <a:rect l="l" t="t" r="r" b="b"/>
                <a:pathLst>
                  <a:path w="1489775" h="3923699">
                    <a:moveTo>
                      <a:pt x="280204" y="750754"/>
                    </a:moveTo>
                    <a:lnTo>
                      <a:pt x="1209570" y="750754"/>
                    </a:lnTo>
                    <a:cubicBezTo>
                      <a:pt x="1364322" y="750754"/>
                      <a:pt x="1489774" y="876206"/>
                      <a:pt x="1489774" y="1030958"/>
                    </a:cubicBezTo>
                    <a:lnTo>
                      <a:pt x="1489774" y="1293518"/>
                    </a:lnTo>
                    <a:lnTo>
                      <a:pt x="1489775" y="1293518"/>
                    </a:lnTo>
                    <a:lnTo>
                      <a:pt x="1489775" y="2063902"/>
                    </a:lnTo>
                    <a:cubicBezTo>
                      <a:pt x="1489775" y="2143440"/>
                      <a:pt x="1425297" y="2207918"/>
                      <a:pt x="1345759" y="2207918"/>
                    </a:cubicBezTo>
                    <a:cubicBezTo>
                      <a:pt x="1266221" y="2207918"/>
                      <a:pt x="1201743" y="2143440"/>
                      <a:pt x="1201743" y="2063902"/>
                    </a:cubicBezTo>
                    <a:lnTo>
                      <a:pt x="1201743" y="1390678"/>
                    </a:lnTo>
                    <a:lnTo>
                      <a:pt x="1158887" y="1390678"/>
                    </a:lnTo>
                    <a:cubicBezTo>
                      <a:pt x="1156542" y="2175018"/>
                      <a:pt x="1154198" y="2959359"/>
                      <a:pt x="1151853" y="3743699"/>
                    </a:cubicBezTo>
                    <a:cubicBezTo>
                      <a:pt x="1151853" y="3843110"/>
                      <a:pt x="1071264" y="3923699"/>
                      <a:pt x="971853" y="3923699"/>
                    </a:cubicBezTo>
                    <a:cubicBezTo>
                      <a:pt x="872442" y="3923699"/>
                      <a:pt x="791853" y="3843110"/>
                      <a:pt x="791853" y="3743699"/>
                    </a:cubicBezTo>
                    <a:lnTo>
                      <a:pt x="791853" y="2305078"/>
                    </a:lnTo>
                    <a:lnTo>
                      <a:pt x="683854" y="2305078"/>
                    </a:lnTo>
                    <a:lnTo>
                      <a:pt x="683854" y="3743698"/>
                    </a:lnTo>
                    <a:cubicBezTo>
                      <a:pt x="683854" y="3843109"/>
                      <a:pt x="603265" y="3923698"/>
                      <a:pt x="503854" y="3923698"/>
                    </a:cubicBezTo>
                    <a:cubicBezTo>
                      <a:pt x="404443" y="3923698"/>
                      <a:pt x="323854" y="3843109"/>
                      <a:pt x="323854" y="3743698"/>
                    </a:cubicBezTo>
                    <a:cubicBezTo>
                      <a:pt x="326198" y="2959358"/>
                      <a:pt x="328543" y="2175018"/>
                      <a:pt x="330887" y="1390678"/>
                    </a:cubicBezTo>
                    <a:lnTo>
                      <a:pt x="288033" y="1390678"/>
                    </a:lnTo>
                    <a:lnTo>
                      <a:pt x="288033" y="2063902"/>
                    </a:lnTo>
                    <a:cubicBezTo>
                      <a:pt x="288033" y="2143440"/>
                      <a:pt x="223555" y="2207918"/>
                      <a:pt x="144017" y="2207918"/>
                    </a:cubicBezTo>
                    <a:cubicBezTo>
                      <a:pt x="64479" y="2207918"/>
                      <a:pt x="1" y="2143440"/>
                      <a:pt x="1" y="2063902"/>
                    </a:cubicBezTo>
                    <a:lnTo>
                      <a:pt x="1" y="1390678"/>
                    </a:lnTo>
                    <a:lnTo>
                      <a:pt x="0" y="1390678"/>
                    </a:lnTo>
                    <a:lnTo>
                      <a:pt x="0" y="1030958"/>
                    </a:lnTo>
                    <a:cubicBezTo>
                      <a:pt x="0" y="876206"/>
                      <a:pt x="125452" y="750754"/>
                      <a:pt x="280204" y="750754"/>
                    </a:cubicBezTo>
                    <a:close/>
                    <a:moveTo>
                      <a:pt x="744888" y="0"/>
                    </a:moveTo>
                    <a:cubicBezTo>
                      <a:pt x="931180" y="0"/>
                      <a:pt x="1082199" y="151019"/>
                      <a:pt x="1082199" y="337311"/>
                    </a:cubicBezTo>
                    <a:cubicBezTo>
                      <a:pt x="1082199" y="523603"/>
                      <a:pt x="931180" y="674622"/>
                      <a:pt x="744888" y="674622"/>
                    </a:cubicBezTo>
                    <a:cubicBezTo>
                      <a:pt x="558596" y="674622"/>
                      <a:pt x="407577" y="523603"/>
                      <a:pt x="407577" y="337311"/>
                    </a:cubicBezTo>
                    <a:cubicBezTo>
                      <a:pt x="407577" y="151019"/>
                      <a:pt x="558596" y="0"/>
                      <a:pt x="744888" y="0"/>
                    </a:cubicBezTo>
                    <a:close/>
                  </a:path>
                </a:pathLst>
              </a:custGeom>
              <a:solidFill>
                <a:sysClr val="windowText" lastClr="000000"/>
              </a:solidFill>
              <a:ln>
                <a:noFill/>
              </a:ln>
              <a:effectLst/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marR="0" lvl="0" indent="0" algn="ctr" defTabSz="914400" rtl="0" eaLnBrk="1" fontAlgn="auto" latinLnBrk="1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ko-KR" altLang="en-US" sz="18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맑은 고딕" panose="020B0503020000020004" pitchFamily="34" charset="-127"/>
                  <a:cs typeface="+mn-cs"/>
                </a:endParaRPr>
              </a:p>
            </xdr:txBody>
          </xdr:sp>
          <xdr:sp macro="" textlink="">
            <xdr:nvSpPr>
              <xdr:cNvPr id="23" name="Round Same Side Corner Rectangle 20">
                <a:extLst>
                  <a:ext uri="{FF2B5EF4-FFF2-40B4-BE49-F238E27FC236}">
                    <a16:creationId xmlns:a16="http://schemas.microsoft.com/office/drawing/2014/main" id="{00000000-0008-0000-0F00-000024000000}"/>
                  </a:ext>
                </a:extLst>
              </xdr:cNvPr>
              <xdr:cNvSpPr/>
            </xdr:nvSpPr>
            <xdr:spPr>
              <a:xfrm rot="10800000">
                <a:off x="7381821" y="4958629"/>
                <a:ext cx="419949" cy="512901"/>
              </a:xfrm>
              <a:custGeom>
                <a:avLst/>
                <a:gdLst>
                  <a:gd name="connsiteX0" fmla="*/ 1228565 w 1856332"/>
                  <a:gd name="connsiteY0" fmla="*/ 3214674 h 3959924"/>
                  <a:gd name="connsiteX1" fmla="*/ 622681 w 1856332"/>
                  <a:gd name="connsiteY1" fmla="*/ 3214674 h 3959924"/>
                  <a:gd name="connsiteX2" fmla="*/ 521281 w 1856332"/>
                  <a:gd name="connsiteY2" fmla="*/ 3174669 h 3959924"/>
                  <a:gd name="connsiteX3" fmla="*/ 466697 w 1856332"/>
                  <a:gd name="connsiteY3" fmla="*/ 3144149 h 3959924"/>
                  <a:gd name="connsiteX4" fmla="*/ 8303 w 1856332"/>
                  <a:gd name="connsiteY4" fmla="*/ 1942070 h 3959924"/>
                  <a:gd name="connsiteX5" fmla="*/ 81139 w 1856332"/>
                  <a:gd name="connsiteY5" fmla="*/ 1779444 h 3959924"/>
                  <a:gd name="connsiteX6" fmla="*/ 243764 w 1856332"/>
                  <a:gd name="connsiteY6" fmla="*/ 1852280 h 3959924"/>
                  <a:gd name="connsiteX7" fmla="*/ 504770 w 1856332"/>
                  <a:gd name="connsiteY7" fmla="*/ 2536736 h 3959924"/>
                  <a:gd name="connsiteX8" fmla="*/ 555637 w 1856332"/>
                  <a:gd name="connsiteY8" fmla="*/ 2536736 h 3959924"/>
                  <a:gd name="connsiteX9" fmla="*/ 226299 w 1856332"/>
                  <a:gd name="connsiteY9" fmla="*/ 1210417 h 3959924"/>
                  <a:gd name="connsiteX10" fmla="*/ 551784 w 1856332"/>
                  <a:gd name="connsiteY10" fmla="*/ 1210417 h 3959924"/>
                  <a:gd name="connsiteX11" fmla="*/ 551784 w 1856332"/>
                  <a:gd name="connsiteY11" fmla="*/ 168335 h 3959924"/>
                  <a:gd name="connsiteX12" fmla="*/ 720119 w 1856332"/>
                  <a:gd name="connsiteY12" fmla="*/ 0 h 3959924"/>
                  <a:gd name="connsiteX13" fmla="*/ 888454 w 1856332"/>
                  <a:gd name="connsiteY13" fmla="*/ 168335 h 3959924"/>
                  <a:gd name="connsiteX14" fmla="*/ 888454 w 1856332"/>
                  <a:gd name="connsiteY14" fmla="*/ 1210417 h 3959924"/>
                  <a:gd name="connsiteX15" fmla="*/ 968040 w 1856332"/>
                  <a:gd name="connsiteY15" fmla="*/ 1210417 h 3959924"/>
                  <a:gd name="connsiteX16" fmla="*/ 968040 w 1856332"/>
                  <a:gd name="connsiteY16" fmla="*/ 168335 h 3959924"/>
                  <a:gd name="connsiteX17" fmla="*/ 1136375 w 1856332"/>
                  <a:gd name="connsiteY17" fmla="*/ 0 h 3959924"/>
                  <a:gd name="connsiteX18" fmla="*/ 1304710 w 1856332"/>
                  <a:gd name="connsiteY18" fmla="*/ 168335 h 3959924"/>
                  <a:gd name="connsiteX19" fmla="*/ 1304710 w 1856332"/>
                  <a:gd name="connsiteY19" fmla="*/ 1210417 h 3959924"/>
                  <a:gd name="connsiteX20" fmla="*/ 1631589 w 1856332"/>
                  <a:gd name="connsiteY20" fmla="*/ 1210417 h 3959924"/>
                  <a:gd name="connsiteX21" fmla="*/ 1302251 w 1856332"/>
                  <a:gd name="connsiteY21" fmla="*/ 2536736 h 3959924"/>
                  <a:gd name="connsiteX22" fmla="*/ 1351562 w 1856332"/>
                  <a:gd name="connsiteY22" fmla="*/ 2536736 h 3959924"/>
                  <a:gd name="connsiteX23" fmla="*/ 1612568 w 1856332"/>
                  <a:gd name="connsiteY23" fmla="*/ 1852280 h 3959924"/>
                  <a:gd name="connsiteX24" fmla="*/ 1775193 w 1856332"/>
                  <a:gd name="connsiteY24" fmla="*/ 1779444 h 3959924"/>
                  <a:gd name="connsiteX25" fmla="*/ 1848029 w 1856332"/>
                  <a:gd name="connsiteY25" fmla="*/ 1942070 h 3959924"/>
                  <a:gd name="connsiteX26" fmla="*/ 1389635 w 1856332"/>
                  <a:gd name="connsiteY26" fmla="*/ 3144149 h 3959924"/>
                  <a:gd name="connsiteX27" fmla="*/ 1344732 w 1856332"/>
                  <a:gd name="connsiteY27" fmla="*/ 3176282 h 3959924"/>
                  <a:gd name="connsiteX28" fmla="*/ 1228565 w 1856332"/>
                  <a:gd name="connsiteY28" fmla="*/ 3214674 h 3959924"/>
                  <a:gd name="connsiteX29" fmla="*/ 925623 w 1856332"/>
                  <a:gd name="connsiteY29" fmla="*/ 3959924 h 3959924"/>
                  <a:gd name="connsiteX30" fmla="*/ 601623 w 1856332"/>
                  <a:gd name="connsiteY30" fmla="*/ 3635924 h 3959924"/>
                  <a:gd name="connsiteX31" fmla="*/ 925623 w 1856332"/>
                  <a:gd name="connsiteY31" fmla="*/ 3311924 h 3959924"/>
                  <a:gd name="connsiteX32" fmla="*/ 1249623 w 1856332"/>
                  <a:gd name="connsiteY32" fmla="*/ 3635924 h 3959924"/>
                  <a:gd name="connsiteX33" fmla="*/ 925623 w 1856332"/>
                  <a:gd name="connsiteY33" fmla="*/ 3959924 h 3959924"/>
                  <a:gd name="connsiteX0" fmla="*/ 1228565 w 1856332"/>
                  <a:gd name="connsiteY0" fmla="*/ 3214674 h 3959924"/>
                  <a:gd name="connsiteX1" fmla="*/ 622681 w 1856332"/>
                  <a:gd name="connsiteY1" fmla="*/ 3214674 h 3959924"/>
                  <a:gd name="connsiteX2" fmla="*/ 466697 w 1856332"/>
                  <a:gd name="connsiteY2" fmla="*/ 3144149 h 3959924"/>
                  <a:gd name="connsiteX3" fmla="*/ 8303 w 1856332"/>
                  <a:gd name="connsiteY3" fmla="*/ 1942070 h 3959924"/>
                  <a:gd name="connsiteX4" fmla="*/ 81139 w 1856332"/>
                  <a:gd name="connsiteY4" fmla="*/ 1779444 h 3959924"/>
                  <a:gd name="connsiteX5" fmla="*/ 243764 w 1856332"/>
                  <a:gd name="connsiteY5" fmla="*/ 1852280 h 3959924"/>
                  <a:gd name="connsiteX6" fmla="*/ 504770 w 1856332"/>
                  <a:gd name="connsiteY6" fmla="*/ 2536736 h 3959924"/>
                  <a:gd name="connsiteX7" fmla="*/ 555637 w 1856332"/>
                  <a:gd name="connsiteY7" fmla="*/ 2536736 h 3959924"/>
                  <a:gd name="connsiteX8" fmla="*/ 226299 w 1856332"/>
                  <a:gd name="connsiteY8" fmla="*/ 1210417 h 3959924"/>
                  <a:gd name="connsiteX9" fmla="*/ 551784 w 1856332"/>
                  <a:gd name="connsiteY9" fmla="*/ 1210417 h 3959924"/>
                  <a:gd name="connsiteX10" fmla="*/ 551784 w 1856332"/>
                  <a:gd name="connsiteY10" fmla="*/ 168335 h 3959924"/>
                  <a:gd name="connsiteX11" fmla="*/ 720119 w 1856332"/>
                  <a:gd name="connsiteY11" fmla="*/ 0 h 3959924"/>
                  <a:gd name="connsiteX12" fmla="*/ 888454 w 1856332"/>
                  <a:gd name="connsiteY12" fmla="*/ 168335 h 3959924"/>
                  <a:gd name="connsiteX13" fmla="*/ 888454 w 1856332"/>
                  <a:gd name="connsiteY13" fmla="*/ 1210417 h 3959924"/>
                  <a:gd name="connsiteX14" fmla="*/ 968040 w 1856332"/>
                  <a:gd name="connsiteY14" fmla="*/ 1210417 h 3959924"/>
                  <a:gd name="connsiteX15" fmla="*/ 968040 w 1856332"/>
                  <a:gd name="connsiteY15" fmla="*/ 168335 h 3959924"/>
                  <a:gd name="connsiteX16" fmla="*/ 1136375 w 1856332"/>
                  <a:gd name="connsiteY16" fmla="*/ 0 h 3959924"/>
                  <a:gd name="connsiteX17" fmla="*/ 1304710 w 1856332"/>
                  <a:gd name="connsiteY17" fmla="*/ 168335 h 3959924"/>
                  <a:gd name="connsiteX18" fmla="*/ 1304710 w 1856332"/>
                  <a:gd name="connsiteY18" fmla="*/ 1210417 h 3959924"/>
                  <a:gd name="connsiteX19" fmla="*/ 1631589 w 1856332"/>
                  <a:gd name="connsiteY19" fmla="*/ 1210417 h 3959924"/>
                  <a:gd name="connsiteX20" fmla="*/ 1302251 w 1856332"/>
                  <a:gd name="connsiteY20" fmla="*/ 2536736 h 3959924"/>
                  <a:gd name="connsiteX21" fmla="*/ 1351562 w 1856332"/>
                  <a:gd name="connsiteY21" fmla="*/ 2536736 h 3959924"/>
                  <a:gd name="connsiteX22" fmla="*/ 1612568 w 1856332"/>
                  <a:gd name="connsiteY22" fmla="*/ 1852280 h 3959924"/>
                  <a:gd name="connsiteX23" fmla="*/ 1775193 w 1856332"/>
                  <a:gd name="connsiteY23" fmla="*/ 1779444 h 3959924"/>
                  <a:gd name="connsiteX24" fmla="*/ 1848029 w 1856332"/>
                  <a:gd name="connsiteY24" fmla="*/ 1942070 h 3959924"/>
                  <a:gd name="connsiteX25" fmla="*/ 1389635 w 1856332"/>
                  <a:gd name="connsiteY25" fmla="*/ 3144149 h 3959924"/>
                  <a:gd name="connsiteX26" fmla="*/ 1344732 w 1856332"/>
                  <a:gd name="connsiteY26" fmla="*/ 3176282 h 3959924"/>
                  <a:gd name="connsiteX27" fmla="*/ 1228565 w 1856332"/>
                  <a:gd name="connsiteY27" fmla="*/ 3214674 h 3959924"/>
                  <a:gd name="connsiteX28" fmla="*/ 925623 w 1856332"/>
                  <a:gd name="connsiteY28" fmla="*/ 3959924 h 3959924"/>
                  <a:gd name="connsiteX29" fmla="*/ 601623 w 1856332"/>
                  <a:gd name="connsiteY29" fmla="*/ 3635924 h 3959924"/>
                  <a:gd name="connsiteX30" fmla="*/ 925623 w 1856332"/>
                  <a:gd name="connsiteY30" fmla="*/ 3311924 h 3959924"/>
                  <a:gd name="connsiteX31" fmla="*/ 1249623 w 1856332"/>
                  <a:gd name="connsiteY31" fmla="*/ 3635924 h 3959924"/>
                  <a:gd name="connsiteX32" fmla="*/ 925623 w 1856332"/>
                  <a:gd name="connsiteY32" fmla="*/ 3959924 h 3959924"/>
                  <a:gd name="connsiteX0" fmla="*/ 1228565 w 1856332"/>
                  <a:gd name="connsiteY0" fmla="*/ 3214674 h 3959924"/>
                  <a:gd name="connsiteX1" fmla="*/ 622681 w 1856332"/>
                  <a:gd name="connsiteY1" fmla="*/ 3214674 h 3959924"/>
                  <a:gd name="connsiteX2" fmla="*/ 466697 w 1856332"/>
                  <a:gd name="connsiteY2" fmla="*/ 3144149 h 3959924"/>
                  <a:gd name="connsiteX3" fmla="*/ 8303 w 1856332"/>
                  <a:gd name="connsiteY3" fmla="*/ 1942070 h 3959924"/>
                  <a:gd name="connsiteX4" fmla="*/ 81139 w 1856332"/>
                  <a:gd name="connsiteY4" fmla="*/ 1779444 h 3959924"/>
                  <a:gd name="connsiteX5" fmla="*/ 243764 w 1856332"/>
                  <a:gd name="connsiteY5" fmla="*/ 1852280 h 3959924"/>
                  <a:gd name="connsiteX6" fmla="*/ 504770 w 1856332"/>
                  <a:gd name="connsiteY6" fmla="*/ 2536736 h 3959924"/>
                  <a:gd name="connsiteX7" fmla="*/ 555637 w 1856332"/>
                  <a:gd name="connsiteY7" fmla="*/ 2536736 h 3959924"/>
                  <a:gd name="connsiteX8" fmla="*/ 226299 w 1856332"/>
                  <a:gd name="connsiteY8" fmla="*/ 1210417 h 3959924"/>
                  <a:gd name="connsiteX9" fmla="*/ 551784 w 1856332"/>
                  <a:gd name="connsiteY9" fmla="*/ 1210417 h 3959924"/>
                  <a:gd name="connsiteX10" fmla="*/ 551784 w 1856332"/>
                  <a:gd name="connsiteY10" fmla="*/ 168335 h 3959924"/>
                  <a:gd name="connsiteX11" fmla="*/ 720119 w 1856332"/>
                  <a:gd name="connsiteY11" fmla="*/ 0 h 3959924"/>
                  <a:gd name="connsiteX12" fmla="*/ 888454 w 1856332"/>
                  <a:gd name="connsiteY12" fmla="*/ 168335 h 3959924"/>
                  <a:gd name="connsiteX13" fmla="*/ 888454 w 1856332"/>
                  <a:gd name="connsiteY13" fmla="*/ 1210417 h 3959924"/>
                  <a:gd name="connsiteX14" fmla="*/ 968040 w 1856332"/>
                  <a:gd name="connsiteY14" fmla="*/ 1210417 h 3959924"/>
                  <a:gd name="connsiteX15" fmla="*/ 968040 w 1856332"/>
                  <a:gd name="connsiteY15" fmla="*/ 168335 h 3959924"/>
                  <a:gd name="connsiteX16" fmla="*/ 1136375 w 1856332"/>
                  <a:gd name="connsiteY16" fmla="*/ 0 h 3959924"/>
                  <a:gd name="connsiteX17" fmla="*/ 1304710 w 1856332"/>
                  <a:gd name="connsiteY17" fmla="*/ 168335 h 3959924"/>
                  <a:gd name="connsiteX18" fmla="*/ 1304710 w 1856332"/>
                  <a:gd name="connsiteY18" fmla="*/ 1210417 h 3959924"/>
                  <a:gd name="connsiteX19" fmla="*/ 1631589 w 1856332"/>
                  <a:gd name="connsiteY19" fmla="*/ 1210417 h 3959924"/>
                  <a:gd name="connsiteX20" fmla="*/ 1302251 w 1856332"/>
                  <a:gd name="connsiteY20" fmla="*/ 2536736 h 3959924"/>
                  <a:gd name="connsiteX21" fmla="*/ 1351562 w 1856332"/>
                  <a:gd name="connsiteY21" fmla="*/ 2536736 h 3959924"/>
                  <a:gd name="connsiteX22" fmla="*/ 1612568 w 1856332"/>
                  <a:gd name="connsiteY22" fmla="*/ 1852280 h 3959924"/>
                  <a:gd name="connsiteX23" fmla="*/ 1775193 w 1856332"/>
                  <a:gd name="connsiteY23" fmla="*/ 1779444 h 3959924"/>
                  <a:gd name="connsiteX24" fmla="*/ 1848029 w 1856332"/>
                  <a:gd name="connsiteY24" fmla="*/ 1942070 h 3959924"/>
                  <a:gd name="connsiteX25" fmla="*/ 1389635 w 1856332"/>
                  <a:gd name="connsiteY25" fmla="*/ 3144149 h 3959924"/>
                  <a:gd name="connsiteX26" fmla="*/ 1344732 w 1856332"/>
                  <a:gd name="connsiteY26" fmla="*/ 3176282 h 3959924"/>
                  <a:gd name="connsiteX27" fmla="*/ 1228565 w 1856332"/>
                  <a:gd name="connsiteY27" fmla="*/ 3214674 h 3959924"/>
                  <a:gd name="connsiteX28" fmla="*/ 925623 w 1856332"/>
                  <a:gd name="connsiteY28" fmla="*/ 3959924 h 3959924"/>
                  <a:gd name="connsiteX29" fmla="*/ 601623 w 1856332"/>
                  <a:gd name="connsiteY29" fmla="*/ 3635924 h 3959924"/>
                  <a:gd name="connsiteX30" fmla="*/ 925623 w 1856332"/>
                  <a:gd name="connsiteY30" fmla="*/ 3311924 h 3959924"/>
                  <a:gd name="connsiteX31" fmla="*/ 1249623 w 1856332"/>
                  <a:gd name="connsiteY31" fmla="*/ 3635924 h 3959924"/>
                  <a:gd name="connsiteX32" fmla="*/ 925623 w 1856332"/>
                  <a:gd name="connsiteY32" fmla="*/ 3959924 h 3959924"/>
                  <a:gd name="connsiteX0" fmla="*/ 1228565 w 1856332"/>
                  <a:gd name="connsiteY0" fmla="*/ 3214674 h 3959924"/>
                  <a:gd name="connsiteX1" fmla="*/ 622681 w 1856332"/>
                  <a:gd name="connsiteY1" fmla="*/ 3214674 h 3959924"/>
                  <a:gd name="connsiteX2" fmla="*/ 466697 w 1856332"/>
                  <a:gd name="connsiteY2" fmla="*/ 3144149 h 3959924"/>
                  <a:gd name="connsiteX3" fmla="*/ 8303 w 1856332"/>
                  <a:gd name="connsiteY3" fmla="*/ 1942070 h 3959924"/>
                  <a:gd name="connsiteX4" fmla="*/ 81139 w 1856332"/>
                  <a:gd name="connsiteY4" fmla="*/ 1779444 h 3959924"/>
                  <a:gd name="connsiteX5" fmla="*/ 243764 w 1856332"/>
                  <a:gd name="connsiteY5" fmla="*/ 1852280 h 3959924"/>
                  <a:gd name="connsiteX6" fmla="*/ 504770 w 1856332"/>
                  <a:gd name="connsiteY6" fmla="*/ 2536736 h 3959924"/>
                  <a:gd name="connsiteX7" fmla="*/ 555637 w 1856332"/>
                  <a:gd name="connsiteY7" fmla="*/ 2536736 h 3959924"/>
                  <a:gd name="connsiteX8" fmla="*/ 226299 w 1856332"/>
                  <a:gd name="connsiteY8" fmla="*/ 1210417 h 3959924"/>
                  <a:gd name="connsiteX9" fmla="*/ 551784 w 1856332"/>
                  <a:gd name="connsiteY9" fmla="*/ 1210417 h 3959924"/>
                  <a:gd name="connsiteX10" fmla="*/ 551784 w 1856332"/>
                  <a:gd name="connsiteY10" fmla="*/ 168335 h 3959924"/>
                  <a:gd name="connsiteX11" fmla="*/ 720119 w 1856332"/>
                  <a:gd name="connsiteY11" fmla="*/ 0 h 3959924"/>
                  <a:gd name="connsiteX12" fmla="*/ 888454 w 1856332"/>
                  <a:gd name="connsiteY12" fmla="*/ 168335 h 3959924"/>
                  <a:gd name="connsiteX13" fmla="*/ 888454 w 1856332"/>
                  <a:gd name="connsiteY13" fmla="*/ 1210417 h 3959924"/>
                  <a:gd name="connsiteX14" fmla="*/ 968040 w 1856332"/>
                  <a:gd name="connsiteY14" fmla="*/ 1210417 h 3959924"/>
                  <a:gd name="connsiteX15" fmla="*/ 968040 w 1856332"/>
                  <a:gd name="connsiteY15" fmla="*/ 168335 h 3959924"/>
                  <a:gd name="connsiteX16" fmla="*/ 1136375 w 1856332"/>
                  <a:gd name="connsiteY16" fmla="*/ 0 h 3959924"/>
                  <a:gd name="connsiteX17" fmla="*/ 1304710 w 1856332"/>
                  <a:gd name="connsiteY17" fmla="*/ 168335 h 3959924"/>
                  <a:gd name="connsiteX18" fmla="*/ 1304710 w 1856332"/>
                  <a:gd name="connsiteY18" fmla="*/ 1210417 h 3959924"/>
                  <a:gd name="connsiteX19" fmla="*/ 1631589 w 1856332"/>
                  <a:gd name="connsiteY19" fmla="*/ 1210417 h 3959924"/>
                  <a:gd name="connsiteX20" fmla="*/ 1302251 w 1856332"/>
                  <a:gd name="connsiteY20" fmla="*/ 2536736 h 3959924"/>
                  <a:gd name="connsiteX21" fmla="*/ 1351562 w 1856332"/>
                  <a:gd name="connsiteY21" fmla="*/ 2536736 h 3959924"/>
                  <a:gd name="connsiteX22" fmla="*/ 1612568 w 1856332"/>
                  <a:gd name="connsiteY22" fmla="*/ 1852280 h 3959924"/>
                  <a:gd name="connsiteX23" fmla="*/ 1775193 w 1856332"/>
                  <a:gd name="connsiteY23" fmla="*/ 1779444 h 3959924"/>
                  <a:gd name="connsiteX24" fmla="*/ 1848029 w 1856332"/>
                  <a:gd name="connsiteY24" fmla="*/ 1942070 h 3959924"/>
                  <a:gd name="connsiteX25" fmla="*/ 1389635 w 1856332"/>
                  <a:gd name="connsiteY25" fmla="*/ 3144149 h 3959924"/>
                  <a:gd name="connsiteX26" fmla="*/ 1228565 w 1856332"/>
                  <a:gd name="connsiteY26" fmla="*/ 3214674 h 3959924"/>
                  <a:gd name="connsiteX27" fmla="*/ 925623 w 1856332"/>
                  <a:gd name="connsiteY27" fmla="*/ 3959924 h 3959924"/>
                  <a:gd name="connsiteX28" fmla="*/ 601623 w 1856332"/>
                  <a:gd name="connsiteY28" fmla="*/ 3635924 h 3959924"/>
                  <a:gd name="connsiteX29" fmla="*/ 925623 w 1856332"/>
                  <a:gd name="connsiteY29" fmla="*/ 3311924 h 3959924"/>
                  <a:gd name="connsiteX30" fmla="*/ 1249623 w 1856332"/>
                  <a:gd name="connsiteY30" fmla="*/ 3635924 h 3959924"/>
                  <a:gd name="connsiteX31" fmla="*/ 925623 w 1856332"/>
                  <a:gd name="connsiteY31" fmla="*/ 3959924 h 3959924"/>
                  <a:gd name="connsiteX0" fmla="*/ 1228565 w 1856332"/>
                  <a:gd name="connsiteY0" fmla="*/ 3214674 h 3959924"/>
                  <a:gd name="connsiteX1" fmla="*/ 622681 w 1856332"/>
                  <a:gd name="connsiteY1" fmla="*/ 3214674 h 3959924"/>
                  <a:gd name="connsiteX2" fmla="*/ 466697 w 1856332"/>
                  <a:gd name="connsiteY2" fmla="*/ 3144149 h 3959924"/>
                  <a:gd name="connsiteX3" fmla="*/ 8303 w 1856332"/>
                  <a:gd name="connsiteY3" fmla="*/ 1942070 h 3959924"/>
                  <a:gd name="connsiteX4" fmla="*/ 81139 w 1856332"/>
                  <a:gd name="connsiteY4" fmla="*/ 1779444 h 3959924"/>
                  <a:gd name="connsiteX5" fmla="*/ 243764 w 1856332"/>
                  <a:gd name="connsiteY5" fmla="*/ 1852280 h 3959924"/>
                  <a:gd name="connsiteX6" fmla="*/ 504770 w 1856332"/>
                  <a:gd name="connsiteY6" fmla="*/ 2536736 h 3959924"/>
                  <a:gd name="connsiteX7" fmla="*/ 555637 w 1856332"/>
                  <a:gd name="connsiteY7" fmla="*/ 2536736 h 3959924"/>
                  <a:gd name="connsiteX8" fmla="*/ 226299 w 1856332"/>
                  <a:gd name="connsiteY8" fmla="*/ 1210417 h 3959924"/>
                  <a:gd name="connsiteX9" fmla="*/ 551784 w 1856332"/>
                  <a:gd name="connsiteY9" fmla="*/ 1210417 h 3959924"/>
                  <a:gd name="connsiteX10" fmla="*/ 551784 w 1856332"/>
                  <a:gd name="connsiteY10" fmla="*/ 168335 h 3959924"/>
                  <a:gd name="connsiteX11" fmla="*/ 720119 w 1856332"/>
                  <a:gd name="connsiteY11" fmla="*/ 0 h 3959924"/>
                  <a:gd name="connsiteX12" fmla="*/ 888454 w 1856332"/>
                  <a:gd name="connsiteY12" fmla="*/ 168335 h 3959924"/>
                  <a:gd name="connsiteX13" fmla="*/ 888454 w 1856332"/>
                  <a:gd name="connsiteY13" fmla="*/ 1210417 h 3959924"/>
                  <a:gd name="connsiteX14" fmla="*/ 968040 w 1856332"/>
                  <a:gd name="connsiteY14" fmla="*/ 1210417 h 3959924"/>
                  <a:gd name="connsiteX15" fmla="*/ 968040 w 1856332"/>
                  <a:gd name="connsiteY15" fmla="*/ 168335 h 3959924"/>
                  <a:gd name="connsiteX16" fmla="*/ 1136375 w 1856332"/>
                  <a:gd name="connsiteY16" fmla="*/ 0 h 3959924"/>
                  <a:gd name="connsiteX17" fmla="*/ 1304710 w 1856332"/>
                  <a:gd name="connsiteY17" fmla="*/ 168335 h 3959924"/>
                  <a:gd name="connsiteX18" fmla="*/ 1304710 w 1856332"/>
                  <a:gd name="connsiteY18" fmla="*/ 1210417 h 3959924"/>
                  <a:gd name="connsiteX19" fmla="*/ 1631589 w 1856332"/>
                  <a:gd name="connsiteY19" fmla="*/ 1210417 h 3959924"/>
                  <a:gd name="connsiteX20" fmla="*/ 1302251 w 1856332"/>
                  <a:gd name="connsiteY20" fmla="*/ 2536736 h 3959924"/>
                  <a:gd name="connsiteX21" fmla="*/ 1351562 w 1856332"/>
                  <a:gd name="connsiteY21" fmla="*/ 2536736 h 3959924"/>
                  <a:gd name="connsiteX22" fmla="*/ 1612568 w 1856332"/>
                  <a:gd name="connsiteY22" fmla="*/ 1852280 h 3959924"/>
                  <a:gd name="connsiteX23" fmla="*/ 1775193 w 1856332"/>
                  <a:gd name="connsiteY23" fmla="*/ 1779444 h 3959924"/>
                  <a:gd name="connsiteX24" fmla="*/ 1848029 w 1856332"/>
                  <a:gd name="connsiteY24" fmla="*/ 1942070 h 3959924"/>
                  <a:gd name="connsiteX25" fmla="*/ 1389635 w 1856332"/>
                  <a:gd name="connsiteY25" fmla="*/ 3144149 h 3959924"/>
                  <a:gd name="connsiteX26" fmla="*/ 1228565 w 1856332"/>
                  <a:gd name="connsiteY26" fmla="*/ 3214674 h 3959924"/>
                  <a:gd name="connsiteX27" fmla="*/ 925623 w 1856332"/>
                  <a:gd name="connsiteY27" fmla="*/ 3959924 h 3959924"/>
                  <a:gd name="connsiteX28" fmla="*/ 601623 w 1856332"/>
                  <a:gd name="connsiteY28" fmla="*/ 3635924 h 3959924"/>
                  <a:gd name="connsiteX29" fmla="*/ 925623 w 1856332"/>
                  <a:gd name="connsiteY29" fmla="*/ 3311924 h 3959924"/>
                  <a:gd name="connsiteX30" fmla="*/ 1249623 w 1856332"/>
                  <a:gd name="connsiteY30" fmla="*/ 3635924 h 3959924"/>
                  <a:gd name="connsiteX31" fmla="*/ 925623 w 1856332"/>
                  <a:gd name="connsiteY31" fmla="*/ 3959924 h 3959924"/>
                  <a:gd name="connsiteX0" fmla="*/ 1228565 w 1856332"/>
                  <a:gd name="connsiteY0" fmla="*/ 3214674 h 3959924"/>
                  <a:gd name="connsiteX1" fmla="*/ 622681 w 1856332"/>
                  <a:gd name="connsiteY1" fmla="*/ 3214674 h 3959924"/>
                  <a:gd name="connsiteX2" fmla="*/ 466697 w 1856332"/>
                  <a:gd name="connsiteY2" fmla="*/ 3144149 h 3959924"/>
                  <a:gd name="connsiteX3" fmla="*/ 8303 w 1856332"/>
                  <a:gd name="connsiteY3" fmla="*/ 1942070 h 3959924"/>
                  <a:gd name="connsiteX4" fmla="*/ 81139 w 1856332"/>
                  <a:gd name="connsiteY4" fmla="*/ 1779444 h 3959924"/>
                  <a:gd name="connsiteX5" fmla="*/ 243764 w 1856332"/>
                  <a:gd name="connsiteY5" fmla="*/ 1852280 h 3959924"/>
                  <a:gd name="connsiteX6" fmla="*/ 504770 w 1856332"/>
                  <a:gd name="connsiteY6" fmla="*/ 2536736 h 3959924"/>
                  <a:gd name="connsiteX7" fmla="*/ 555637 w 1856332"/>
                  <a:gd name="connsiteY7" fmla="*/ 2536736 h 3959924"/>
                  <a:gd name="connsiteX8" fmla="*/ 226299 w 1856332"/>
                  <a:gd name="connsiteY8" fmla="*/ 1210417 h 3959924"/>
                  <a:gd name="connsiteX9" fmla="*/ 551784 w 1856332"/>
                  <a:gd name="connsiteY9" fmla="*/ 1210417 h 3959924"/>
                  <a:gd name="connsiteX10" fmla="*/ 551784 w 1856332"/>
                  <a:gd name="connsiteY10" fmla="*/ 168335 h 3959924"/>
                  <a:gd name="connsiteX11" fmla="*/ 720119 w 1856332"/>
                  <a:gd name="connsiteY11" fmla="*/ 0 h 3959924"/>
                  <a:gd name="connsiteX12" fmla="*/ 888454 w 1856332"/>
                  <a:gd name="connsiteY12" fmla="*/ 168335 h 3959924"/>
                  <a:gd name="connsiteX13" fmla="*/ 888454 w 1856332"/>
                  <a:gd name="connsiteY13" fmla="*/ 1210417 h 3959924"/>
                  <a:gd name="connsiteX14" fmla="*/ 968040 w 1856332"/>
                  <a:gd name="connsiteY14" fmla="*/ 1210417 h 3959924"/>
                  <a:gd name="connsiteX15" fmla="*/ 968040 w 1856332"/>
                  <a:gd name="connsiteY15" fmla="*/ 168335 h 3959924"/>
                  <a:gd name="connsiteX16" fmla="*/ 1136375 w 1856332"/>
                  <a:gd name="connsiteY16" fmla="*/ 0 h 3959924"/>
                  <a:gd name="connsiteX17" fmla="*/ 1304710 w 1856332"/>
                  <a:gd name="connsiteY17" fmla="*/ 168335 h 3959924"/>
                  <a:gd name="connsiteX18" fmla="*/ 1304710 w 1856332"/>
                  <a:gd name="connsiteY18" fmla="*/ 1210417 h 3959924"/>
                  <a:gd name="connsiteX19" fmla="*/ 1631589 w 1856332"/>
                  <a:gd name="connsiteY19" fmla="*/ 1210417 h 3959924"/>
                  <a:gd name="connsiteX20" fmla="*/ 1302251 w 1856332"/>
                  <a:gd name="connsiteY20" fmla="*/ 2536736 h 3959924"/>
                  <a:gd name="connsiteX21" fmla="*/ 1351562 w 1856332"/>
                  <a:gd name="connsiteY21" fmla="*/ 2536736 h 3959924"/>
                  <a:gd name="connsiteX22" fmla="*/ 1612568 w 1856332"/>
                  <a:gd name="connsiteY22" fmla="*/ 1852280 h 3959924"/>
                  <a:gd name="connsiteX23" fmla="*/ 1775193 w 1856332"/>
                  <a:gd name="connsiteY23" fmla="*/ 1779444 h 3959924"/>
                  <a:gd name="connsiteX24" fmla="*/ 1848029 w 1856332"/>
                  <a:gd name="connsiteY24" fmla="*/ 1942070 h 3959924"/>
                  <a:gd name="connsiteX25" fmla="*/ 1389635 w 1856332"/>
                  <a:gd name="connsiteY25" fmla="*/ 3144149 h 3959924"/>
                  <a:gd name="connsiteX26" fmla="*/ 1228565 w 1856332"/>
                  <a:gd name="connsiteY26" fmla="*/ 3214674 h 3959924"/>
                  <a:gd name="connsiteX27" fmla="*/ 925623 w 1856332"/>
                  <a:gd name="connsiteY27" fmla="*/ 3959924 h 3959924"/>
                  <a:gd name="connsiteX28" fmla="*/ 601623 w 1856332"/>
                  <a:gd name="connsiteY28" fmla="*/ 3635924 h 3959924"/>
                  <a:gd name="connsiteX29" fmla="*/ 925623 w 1856332"/>
                  <a:gd name="connsiteY29" fmla="*/ 3311924 h 3959924"/>
                  <a:gd name="connsiteX30" fmla="*/ 1249623 w 1856332"/>
                  <a:gd name="connsiteY30" fmla="*/ 3635924 h 3959924"/>
                  <a:gd name="connsiteX31" fmla="*/ 925623 w 1856332"/>
                  <a:gd name="connsiteY31" fmla="*/ 3959924 h 395992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</a:cxnLst>
                <a:rect l="l" t="t" r="r" b="b"/>
                <a:pathLst>
                  <a:path w="1856332" h="3959924">
                    <a:moveTo>
                      <a:pt x="1228565" y="3214674"/>
                    </a:moveTo>
                    <a:lnTo>
                      <a:pt x="622681" y="3214674"/>
                    </a:lnTo>
                    <a:cubicBezTo>
                      <a:pt x="495703" y="3202920"/>
                      <a:pt x="501057" y="3225622"/>
                      <a:pt x="466697" y="3144149"/>
                    </a:cubicBezTo>
                    <a:lnTo>
                      <a:pt x="8303" y="1942070"/>
                    </a:lnTo>
                    <a:cubicBezTo>
                      <a:pt x="-16491" y="1877049"/>
                      <a:pt x="16118" y="1804239"/>
                      <a:pt x="81139" y="1779444"/>
                    </a:cubicBezTo>
                    <a:cubicBezTo>
                      <a:pt x="146160" y="1754650"/>
                      <a:pt x="218970" y="1787259"/>
                      <a:pt x="243764" y="1852280"/>
                    </a:cubicBezTo>
                    <a:lnTo>
                      <a:pt x="504770" y="2536736"/>
                    </a:lnTo>
                    <a:lnTo>
                      <a:pt x="555637" y="2536736"/>
                    </a:lnTo>
                    <a:lnTo>
                      <a:pt x="226299" y="1210417"/>
                    </a:lnTo>
                    <a:lnTo>
                      <a:pt x="551784" y="1210417"/>
                    </a:lnTo>
                    <a:lnTo>
                      <a:pt x="551784" y="168335"/>
                    </a:lnTo>
                    <a:cubicBezTo>
                      <a:pt x="551784" y="75366"/>
                      <a:pt x="627150" y="0"/>
                      <a:pt x="720119" y="0"/>
                    </a:cubicBezTo>
                    <a:cubicBezTo>
                      <a:pt x="813088" y="0"/>
                      <a:pt x="888454" y="75366"/>
                      <a:pt x="888454" y="168335"/>
                    </a:cubicBezTo>
                    <a:lnTo>
                      <a:pt x="888454" y="1210417"/>
                    </a:lnTo>
                    <a:lnTo>
                      <a:pt x="968040" y="1210417"/>
                    </a:lnTo>
                    <a:lnTo>
                      <a:pt x="968040" y="168335"/>
                    </a:lnTo>
                    <a:cubicBezTo>
                      <a:pt x="968040" y="75366"/>
                      <a:pt x="1043406" y="0"/>
                      <a:pt x="1136375" y="0"/>
                    </a:cubicBezTo>
                    <a:cubicBezTo>
                      <a:pt x="1229344" y="0"/>
                      <a:pt x="1304710" y="75366"/>
                      <a:pt x="1304710" y="168335"/>
                    </a:cubicBezTo>
                    <a:lnTo>
                      <a:pt x="1304710" y="1210417"/>
                    </a:lnTo>
                    <a:lnTo>
                      <a:pt x="1631589" y="1210417"/>
                    </a:lnTo>
                    <a:lnTo>
                      <a:pt x="1302251" y="2536736"/>
                    </a:lnTo>
                    <a:lnTo>
                      <a:pt x="1351562" y="2536736"/>
                    </a:lnTo>
                    <a:lnTo>
                      <a:pt x="1612568" y="1852280"/>
                    </a:lnTo>
                    <a:cubicBezTo>
                      <a:pt x="1637362" y="1787259"/>
                      <a:pt x="1710172" y="1754650"/>
                      <a:pt x="1775193" y="1779444"/>
                    </a:cubicBezTo>
                    <a:cubicBezTo>
                      <a:pt x="1840214" y="1804239"/>
                      <a:pt x="1872823" y="1877049"/>
                      <a:pt x="1848029" y="1942070"/>
                    </a:cubicBezTo>
                    <a:lnTo>
                      <a:pt x="1389635" y="3144149"/>
                    </a:lnTo>
                    <a:cubicBezTo>
                      <a:pt x="1348984" y="3225622"/>
                      <a:pt x="1356391" y="3202920"/>
                      <a:pt x="1228565" y="3214674"/>
                    </a:cubicBezTo>
                    <a:close/>
                    <a:moveTo>
                      <a:pt x="925623" y="3959924"/>
                    </a:moveTo>
                    <a:cubicBezTo>
                      <a:pt x="746683" y="3959924"/>
                      <a:pt x="601623" y="3814864"/>
                      <a:pt x="601623" y="3635924"/>
                    </a:cubicBezTo>
                    <a:cubicBezTo>
                      <a:pt x="601623" y="3456984"/>
                      <a:pt x="746683" y="3311924"/>
                      <a:pt x="925623" y="3311924"/>
                    </a:cubicBezTo>
                    <a:cubicBezTo>
                      <a:pt x="1104563" y="3311924"/>
                      <a:pt x="1249623" y="3456984"/>
                      <a:pt x="1249623" y="3635924"/>
                    </a:cubicBezTo>
                    <a:cubicBezTo>
                      <a:pt x="1249623" y="3814864"/>
                      <a:pt x="1104563" y="3959924"/>
                      <a:pt x="925623" y="3959924"/>
                    </a:cubicBezTo>
                    <a:close/>
                  </a:path>
                </a:pathLst>
              </a:custGeom>
              <a:solidFill>
                <a:sysClr val="windowText" lastClr="000000"/>
              </a:solidFill>
              <a:ln>
                <a:noFill/>
              </a:ln>
              <a:effectLst/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marR="0" lvl="0" indent="0" algn="ctr" defTabSz="914400" rtl="0" eaLnBrk="1" fontAlgn="auto" latinLnBrk="1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ko-KR" altLang="en-US" sz="18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맑은 고딕" panose="020B0503020000020004" pitchFamily="34" charset="-127"/>
                  <a:cs typeface="+mn-cs"/>
                </a:endParaRPr>
              </a:p>
            </xdr:txBody>
          </xdr:sp>
          <xdr:sp macro="" textlink="">
            <xdr:nvSpPr>
              <xdr:cNvPr id="24" name="Round Same Side Corner Rectangle 8">
                <a:extLst>
                  <a:ext uri="{FF2B5EF4-FFF2-40B4-BE49-F238E27FC236}">
                    <a16:creationId xmlns:a16="http://schemas.microsoft.com/office/drawing/2014/main" id="{00000000-0008-0000-0F00-000025000000}"/>
                  </a:ext>
                </a:extLst>
              </xdr:cNvPr>
              <xdr:cNvSpPr/>
            </xdr:nvSpPr>
            <xdr:spPr>
              <a:xfrm>
                <a:off x="5954433" y="5056084"/>
                <a:ext cx="320964" cy="387360"/>
              </a:xfrm>
              <a:custGeom>
                <a:avLst/>
                <a:gdLst>
                  <a:gd name="connsiteX0" fmla="*/ 280204 w 1489775"/>
                  <a:gd name="connsiteY0" fmla="*/ 750754 h 3923699"/>
                  <a:gd name="connsiteX1" fmla="*/ 1209570 w 1489775"/>
                  <a:gd name="connsiteY1" fmla="*/ 750754 h 3923699"/>
                  <a:gd name="connsiteX2" fmla="*/ 1489774 w 1489775"/>
                  <a:gd name="connsiteY2" fmla="*/ 1030958 h 3923699"/>
                  <a:gd name="connsiteX3" fmla="*/ 1489774 w 1489775"/>
                  <a:gd name="connsiteY3" fmla="*/ 1293518 h 3923699"/>
                  <a:gd name="connsiteX4" fmla="*/ 1489775 w 1489775"/>
                  <a:gd name="connsiteY4" fmla="*/ 1293518 h 3923699"/>
                  <a:gd name="connsiteX5" fmla="*/ 1489775 w 1489775"/>
                  <a:gd name="connsiteY5" fmla="*/ 2063902 h 3923699"/>
                  <a:gd name="connsiteX6" fmla="*/ 1345759 w 1489775"/>
                  <a:gd name="connsiteY6" fmla="*/ 2207918 h 3923699"/>
                  <a:gd name="connsiteX7" fmla="*/ 1201743 w 1489775"/>
                  <a:gd name="connsiteY7" fmla="*/ 2063902 h 3923699"/>
                  <a:gd name="connsiteX8" fmla="*/ 1201743 w 1489775"/>
                  <a:gd name="connsiteY8" fmla="*/ 1390678 h 3923699"/>
                  <a:gd name="connsiteX9" fmla="*/ 1158887 w 1489775"/>
                  <a:gd name="connsiteY9" fmla="*/ 1390678 h 3923699"/>
                  <a:gd name="connsiteX10" fmla="*/ 1158887 w 1489775"/>
                  <a:gd name="connsiteY10" fmla="*/ 2305078 h 3923699"/>
                  <a:gd name="connsiteX11" fmla="*/ 1151853 w 1489775"/>
                  <a:gd name="connsiteY11" fmla="*/ 3743699 h 3923699"/>
                  <a:gd name="connsiteX12" fmla="*/ 971853 w 1489775"/>
                  <a:gd name="connsiteY12" fmla="*/ 3923699 h 3923699"/>
                  <a:gd name="connsiteX13" fmla="*/ 791853 w 1489775"/>
                  <a:gd name="connsiteY13" fmla="*/ 3743699 h 3923699"/>
                  <a:gd name="connsiteX14" fmla="*/ 791853 w 1489775"/>
                  <a:gd name="connsiteY14" fmla="*/ 2305078 h 3923699"/>
                  <a:gd name="connsiteX15" fmla="*/ 683854 w 1489775"/>
                  <a:gd name="connsiteY15" fmla="*/ 2305078 h 3923699"/>
                  <a:gd name="connsiteX16" fmla="*/ 683854 w 1489775"/>
                  <a:gd name="connsiteY16" fmla="*/ 3743698 h 3923699"/>
                  <a:gd name="connsiteX17" fmla="*/ 503854 w 1489775"/>
                  <a:gd name="connsiteY17" fmla="*/ 3923698 h 3923699"/>
                  <a:gd name="connsiteX18" fmla="*/ 323854 w 1489775"/>
                  <a:gd name="connsiteY18" fmla="*/ 3743698 h 3923699"/>
                  <a:gd name="connsiteX19" fmla="*/ 323854 w 1489775"/>
                  <a:gd name="connsiteY19" fmla="*/ 2238914 h 3923699"/>
                  <a:gd name="connsiteX20" fmla="*/ 330887 w 1489775"/>
                  <a:gd name="connsiteY20" fmla="*/ 2238914 h 3923699"/>
                  <a:gd name="connsiteX21" fmla="*/ 330887 w 1489775"/>
                  <a:gd name="connsiteY21" fmla="*/ 1390678 h 3923699"/>
                  <a:gd name="connsiteX22" fmla="*/ 288033 w 1489775"/>
                  <a:gd name="connsiteY22" fmla="*/ 1390678 h 3923699"/>
                  <a:gd name="connsiteX23" fmla="*/ 288033 w 1489775"/>
                  <a:gd name="connsiteY23" fmla="*/ 2063902 h 3923699"/>
                  <a:gd name="connsiteX24" fmla="*/ 144017 w 1489775"/>
                  <a:gd name="connsiteY24" fmla="*/ 2207918 h 3923699"/>
                  <a:gd name="connsiteX25" fmla="*/ 1 w 1489775"/>
                  <a:gd name="connsiteY25" fmla="*/ 2063902 h 3923699"/>
                  <a:gd name="connsiteX26" fmla="*/ 1 w 1489775"/>
                  <a:gd name="connsiteY26" fmla="*/ 1390678 h 3923699"/>
                  <a:gd name="connsiteX27" fmla="*/ 0 w 1489775"/>
                  <a:gd name="connsiteY27" fmla="*/ 1390678 h 3923699"/>
                  <a:gd name="connsiteX28" fmla="*/ 0 w 1489775"/>
                  <a:gd name="connsiteY28" fmla="*/ 1030958 h 3923699"/>
                  <a:gd name="connsiteX29" fmla="*/ 280204 w 1489775"/>
                  <a:gd name="connsiteY29" fmla="*/ 750754 h 3923699"/>
                  <a:gd name="connsiteX30" fmla="*/ 744888 w 1489775"/>
                  <a:gd name="connsiteY30" fmla="*/ 0 h 3923699"/>
                  <a:gd name="connsiteX31" fmla="*/ 1082199 w 1489775"/>
                  <a:gd name="connsiteY31" fmla="*/ 337311 h 3923699"/>
                  <a:gd name="connsiteX32" fmla="*/ 744888 w 1489775"/>
                  <a:gd name="connsiteY32" fmla="*/ 674622 h 3923699"/>
                  <a:gd name="connsiteX33" fmla="*/ 407577 w 1489775"/>
                  <a:gd name="connsiteY33" fmla="*/ 337311 h 3923699"/>
                  <a:gd name="connsiteX34" fmla="*/ 744888 w 1489775"/>
                  <a:gd name="connsiteY34" fmla="*/ 0 h 3923699"/>
                  <a:gd name="connsiteX0" fmla="*/ 280204 w 1489775"/>
                  <a:gd name="connsiteY0" fmla="*/ 750754 h 3923699"/>
                  <a:gd name="connsiteX1" fmla="*/ 1209570 w 1489775"/>
                  <a:gd name="connsiteY1" fmla="*/ 750754 h 3923699"/>
                  <a:gd name="connsiteX2" fmla="*/ 1489774 w 1489775"/>
                  <a:gd name="connsiteY2" fmla="*/ 1030958 h 3923699"/>
                  <a:gd name="connsiteX3" fmla="*/ 1489774 w 1489775"/>
                  <a:gd name="connsiteY3" fmla="*/ 1293518 h 3923699"/>
                  <a:gd name="connsiteX4" fmla="*/ 1489775 w 1489775"/>
                  <a:gd name="connsiteY4" fmla="*/ 1293518 h 3923699"/>
                  <a:gd name="connsiteX5" fmla="*/ 1489775 w 1489775"/>
                  <a:gd name="connsiteY5" fmla="*/ 2063902 h 3923699"/>
                  <a:gd name="connsiteX6" fmla="*/ 1345759 w 1489775"/>
                  <a:gd name="connsiteY6" fmla="*/ 2207918 h 3923699"/>
                  <a:gd name="connsiteX7" fmla="*/ 1201743 w 1489775"/>
                  <a:gd name="connsiteY7" fmla="*/ 2063902 h 3923699"/>
                  <a:gd name="connsiteX8" fmla="*/ 1201743 w 1489775"/>
                  <a:gd name="connsiteY8" fmla="*/ 1390678 h 3923699"/>
                  <a:gd name="connsiteX9" fmla="*/ 1158887 w 1489775"/>
                  <a:gd name="connsiteY9" fmla="*/ 1390678 h 3923699"/>
                  <a:gd name="connsiteX10" fmla="*/ 1151853 w 1489775"/>
                  <a:gd name="connsiteY10" fmla="*/ 3743699 h 3923699"/>
                  <a:gd name="connsiteX11" fmla="*/ 971853 w 1489775"/>
                  <a:gd name="connsiteY11" fmla="*/ 3923699 h 3923699"/>
                  <a:gd name="connsiteX12" fmla="*/ 791853 w 1489775"/>
                  <a:gd name="connsiteY12" fmla="*/ 3743699 h 3923699"/>
                  <a:gd name="connsiteX13" fmla="*/ 791853 w 1489775"/>
                  <a:gd name="connsiteY13" fmla="*/ 2305078 h 3923699"/>
                  <a:gd name="connsiteX14" fmla="*/ 683854 w 1489775"/>
                  <a:gd name="connsiteY14" fmla="*/ 2305078 h 3923699"/>
                  <a:gd name="connsiteX15" fmla="*/ 683854 w 1489775"/>
                  <a:gd name="connsiteY15" fmla="*/ 3743698 h 3923699"/>
                  <a:gd name="connsiteX16" fmla="*/ 503854 w 1489775"/>
                  <a:gd name="connsiteY16" fmla="*/ 3923698 h 3923699"/>
                  <a:gd name="connsiteX17" fmla="*/ 323854 w 1489775"/>
                  <a:gd name="connsiteY17" fmla="*/ 3743698 h 3923699"/>
                  <a:gd name="connsiteX18" fmla="*/ 323854 w 1489775"/>
                  <a:gd name="connsiteY18" fmla="*/ 2238914 h 3923699"/>
                  <a:gd name="connsiteX19" fmla="*/ 330887 w 1489775"/>
                  <a:gd name="connsiteY19" fmla="*/ 2238914 h 3923699"/>
                  <a:gd name="connsiteX20" fmla="*/ 330887 w 1489775"/>
                  <a:gd name="connsiteY20" fmla="*/ 1390678 h 3923699"/>
                  <a:gd name="connsiteX21" fmla="*/ 288033 w 1489775"/>
                  <a:gd name="connsiteY21" fmla="*/ 1390678 h 3923699"/>
                  <a:gd name="connsiteX22" fmla="*/ 288033 w 1489775"/>
                  <a:gd name="connsiteY22" fmla="*/ 2063902 h 3923699"/>
                  <a:gd name="connsiteX23" fmla="*/ 144017 w 1489775"/>
                  <a:gd name="connsiteY23" fmla="*/ 2207918 h 3923699"/>
                  <a:gd name="connsiteX24" fmla="*/ 1 w 1489775"/>
                  <a:gd name="connsiteY24" fmla="*/ 2063902 h 3923699"/>
                  <a:gd name="connsiteX25" fmla="*/ 1 w 1489775"/>
                  <a:gd name="connsiteY25" fmla="*/ 1390678 h 3923699"/>
                  <a:gd name="connsiteX26" fmla="*/ 0 w 1489775"/>
                  <a:gd name="connsiteY26" fmla="*/ 1390678 h 3923699"/>
                  <a:gd name="connsiteX27" fmla="*/ 0 w 1489775"/>
                  <a:gd name="connsiteY27" fmla="*/ 1030958 h 3923699"/>
                  <a:gd name="connsiteX28" fmla="*/ 280204 w 1489775"/>
                  <a:gd name="connsiteY28" fmla="*/ 750754 h 3923699"/>
                  <a:gd name="connsiteX29" fmla="*/ 744888 w 1489775"/>
                  <a:gd name="connsiteY29" fmla="*/ 0 h 3923699"/>
                  <a:gd name="connsiteX30" fmla="*/ 1082199 w 1489775"/>
                  <a:gd name="connsiteY30" fmla="*/ 337311 h 3923699"/>
                  <a:gd name="connsiteX31" fmla="*/ 744888 w 1489775"/>
                  <a:gd name="connsiteY31" fmla="*/ 674622 h 3923699"/>
                  <a:gd name="connsiteX32" fmla="*/ 407577 w 1489775"/>
                  <a:gd name="connsiteY32" fmla="*/ 337311 h 3923699"/>
                  <a:gd name="connsiteX33" fmla="*/ 744888 w 1489775"/>
                  <a:gd name="connsiteY33" fmla="*/ 0 h 3923699"/>
                  <a:gd name="connsiteX0" fmla="*/ 280204 w 1489775"/>
                  <a:gd name="connsiteY0" fmla="*/ 750754 h 3923699"/>
                  <a:gd name="connsiteX1" fmla="*/ 1209570 w 1489775"/>
                  <a:gd name="connsiteY1" fmla="*/ 750754 h 3923699"/>
                  <a:gd name="connsiteX2" fmla="*/ 1489774 w 1489775"/>
                  <a:gd name="connsiteY2" fmla="*/ 1030958 h 3923699"/>
                  <a:gd name="connsiteX3" fmla="*/ 1489774 w 1489775"/>
                  <a:gd name="connsiteY3" fmla="*/ 1293518 h 3923699"/>
                  <a:gd name="connsiteX4" fmla="*/ 1489775 w 1489775"/>
                  <a:gd name="connsiteY4" fmla="*/ 1293518 h 3923699"/>
                  <a:gd name="connsiteX5" fmla="*/ 1489775 w 1489775"/>
                  <a:gd name="connsiteY5" fmla="*/ 2063902 h 3923699"/>
                  <a:gd name="connsiteX6" fmla="*/ 1345759 w 1489775"/>
                  <a:gd name="connsiteY6" fmla="*/ 2207918 h 3923699"/>
                  <a:gd name="connsiteX7" fmla="*/ 1201743 w 1489775"/>
                  <a:gd name="connsiteY7" fmla="*/ 2063902 h 3923699"/>
                  <a:gd name="connsiteX8" fmla="*/ 1201743 w 1489775"/>
                  <a:gd name="connsiteY8" fmla="*/ 1390678 h 3923699"/>
                  <a:gd name="connsiteX9" fmla="*/ 1158887 w 1489775"/>
                  <a:gd name="connsiteY9" fmla="*/ 1390678 h 3923699"/>
                  <a:gd name="connsiteX10" fmla="*/ 1151853 w 1489775"/>
                  <a:gd name="connsiteY10" fmla="*/ 3743699 h 3923699"/>
                  <a:gd name="connsiteX11" fmla="*/ 971853 w 1489775"/>
                  <a:gd name="connsiteY11" fmla="*/ 3923699 h 3923699"/>
                  <a:gd name="connsiteX12" fmla="*/ 791853 w 1489775"/>
                  <a:gd name="connsiteY12" fmla="*/ 3743699 h 3923699"/>
                  <a:gd name="connsiteX13" fmla="*/ 791853 w 1489775"/>
                  <a:gd name="connsiteY13" fmla="*/ 2305078 h 3923699"/>
                  <a:gd name="connsiteX14" fmla="*/ 683854 w 1489775"/>
                  <a:gd name="connsiteY14" fmla="*/ 2305078 h 3923699"/>
                  <a:gd name="connsiteX15" fmla="*/ 683854 w 1489775"/>
                  <a:gd name="connsiteY15" fmla="*/ 3743698 h 3923699"/>
                  <a:gd name="connsiteX16" fmla="*/ 503854 w 1489775"/>
                  <a:gd name="connsiteY16" fmla="*/ 3923698 h 3923699"/>
                  <a:gd name="connsiteX17" fmla="*/ 323854 w 1489775"/>
                  <a:gd name="connsiteY17" fmla="*/ 3743698 h 3923699"/>
                  <a:gd name="connsiteX18" fmla="*/ 323854 w 1489775"/>
                  <a:gd name="connsiteY18" fmla="*/ 2238914 h 3923699"/>
                  <a:gd name="connsiteX19" fmla="*/ 330887 w 1489775"/>
                  <a:gd name="connsiteY19" fmla="*/ 1390678 h 3923699"/>
                  <a:gd name="connsiteX20" fmla="*/ 288033 w 1489775"/>
                  <a:gd name="connsiteY20" fmla="*/ 1390678 h 3923699"/>
                  <a:gd name="connsiteX21" fmla="*/ 288033 w 1489775"/>
                  <a:gd name="connsiteY21" fmla="*/ 2063902 h 3923699"/>
                  <a:gd name="connsiteX22" fmla="*/ 144017 w 1489775"/>
                  <a:gd name="connsiteY22" fmla="*/ 2207918 h 3923699"/>
                  <a:gd name="connsiteX23" fmla="*/ 1 w 1489775"/>
                  <a:gd name="connsiteY23" fmla="*/ 2063902 h 3923699"/>
                  <a:gd name="connsiteX24" fmla="*/ 1 w 1489775"/>
                  <a:gd name="connsiteY24" fmla="*/ 1390678 h 3923699"/>
                  <a:gd name="connsiteX25" fmla="*/ 0 w 1489775"/>
                  <a:gd name="connsiteY25" fmla="*/ 1390678 h 3923699"/>
                  <a:gd name="connsiteX26" fmla="*/ 0 w 1489775"/>
                  <a:gd name="connsiteY26" fmla="*/ 1030958 h 3923699"/>
                  <a:gd name="connsiteX27" fmla="*/ 280204 w 1489775"/>
                  <a:gd name="connsiteY27" fmla="*/ 750754 h 3923699"/>
                  <a:gd name="connsiteX28" fmla="*/ 744888 w 1489775"/>
                  <a:gd name="connsiteY28" fmla="*/ 0 h 3923699"/>
                  <a:gd name="connsiteX29" fmla="*/ 1082199 w 1489775"/>
                  <a:gd name="connsiteY29" fmla="*/ 337311 h 3923699"/>
                  <a:gd name="connsiteX30" fmla="*/ 744888 w 1489775"/>
                  <a:gd name="connsiteY30" fmla="*/ 674622 h 3923699"/>
                  <a:gd name="connsiteX31" fmla="*/ 407577 w 1489775"/>
                  <a:gd name="connsiteY31" fmla="*/ 337311 h 3923699"/>
                  <a:gd name="connsiteX32" fmla="*/ 744888 w 1489775"/>
                  <a:gd name="connsiteY32" fmla="*/ 0 h 3923699"/>
                  <a:gd name="connsiteX0" fmla="*/ 280204 w 1489775"/>
                  <a:gd name="connsiteY0" fmla="*/ 750754 h 3923699"/>
                  <a:gd name="connsiteX1" fmla="*/ 1209570 w 1489775"/>
                  <a:gd name="connsiteY1" fmla="*/ 750754 h 3923699"/>
                  <a:gd name="connsiteX2" fmla="*/ 1489774 w 1489775"/>
                  <a:gd name="connsiteY2" fmla="*/ 1030958 h 3923699"/>
                  <a:gd name="connsiteX3" fmla="*/ 1489774 w 1489775"/>
                  <a:gd name="connsiteY3" fmla="*/ 1293518 h 3923699"/>
                  <a:gd name="connsiteX4" fmla="*/ 1489775 w 1489775"/>
                  <a:gd name="connsiteY4" fmla="*/ 1293518 h 3923699"/>
                  <a:gd name="connsiteX5" fmla="*/ 1489775 w 1489775"/>
                  <a:gd name="connsiteY5" fmla="*/ 2063902 h 3923699"/>
                  <a:gd name="connsiteX6" fmla="*/ 1345759 w 1489775"/>
                  <a:gd name="connsiteY6" fmla="*/ 2207918 h 3923699"/>
                  <a:gd name="connsiteX7" fmla="*/ 1201743 w 1489775"/>
                  <a:gd name="connsiteY7" fmla="*/ 2063902 h 3923699"/>
                  <a:gd name="connsiteX8" fmla="*/ 1201743 w 1489775"/>
                  <a:gd name="connsiteY8" fmla="*/ 1390678 h 3923699"/>
                  <a:gd name="connsiteX9" fmla="*/ 1158887 w 1489775"/>
                  <a:gd name="connsiteY9" fmla="*/ 1390678 h 3923699"/>
                  <a:gd name="connsiteX10" fmla="*/ 1151853 w 1489775"/>
                  <a:gd name="connsiteY10" fmla="*/ 3743699 h 3923699"/>
                  <a:gd name="connsiteX11" fmla="*/ 971853 w 1489775"/>
                  <a:gd name="connsiteY11" fmla="*/ 3923699 h 3923699"/>
                  <a:gd name="connsiteX12" fmla="*/ 791853 w 1489775"/>
                  <a:gd name="connsiteY12" fmla="*/ 3743699 h 3923699"/>
                  <a:gd name="connsiteX13" fmla="*/ 791853 w 1489775"/>
                  <a:gd name="connsiteY13" fmla="*/ 2305078 h 3923699"/>
                  <a:gd name="connsiteX14" fmla="*/ 683854 w 1489775"/>
                  <a:gd name="connsiteY14" fmla="*/ 2305078 h 3923699"/>
                  <a:gd name="connsiteX15" fmla="*/ 683854 w 1489775"/>
                  <a:gd name="connsiteY15" fmla="*/ 3743698 h 3923699"/>
                  <a:gd name="connsiteX16" fmla="*/ 503854 w 1489775"/>
                  <a:gd name="connsiteY16" fmla="*/ 3923698 h 3923699"/>
                  <a:gd name="connsiteX17" fmla="*/ 323854 w 1489775"/>
                  <a:gd name="connsiteY17" fmla="*/ 3743698 h 3923699"/>
                  <a:gd name="connsiteX18" fmla="*/ 330887 w 1489775"/>
                  <a:gd name="connsiteY18" fmla="*/ 1390678 h 3923699"/>
                  <a:gd name="connsiteX19" fmla="*/ 288033 w 1489775"/>
                  <a:gd name="connsiteY19" fmla="*/ 1390678 h 3923699"/>
                  <a:gd name="connsiteX20" fmla="*/ 288033 w 1489775"/>
                  <a:gd name="connsiteY20" fmla="*/ 2063902 h 3923699"/>
                  <a:gd name="connsiteX21" fmla="*/ 144017 w 1489775"/>
                  <a:gd name="connsiteY21" fmla="*/ 2207918 h 3923699"/>
                  <a:gd name="connsiteX22" fmla="*/ 1 w 1489775"/>
                  <a:gd name="connsiteY22" fmla="*/ 2063902 h 3923699"/>
                  <a:gd name="connsiteX23" fmla="*/ 1 w 1489775"/>
                  <a:gd name="connsiteY23" fmla="*/ 1390678 h 3923699"/>
                  <a:gd name="connsiteX24" fmla="*/ 0 w 1489775"/>
                  <a:gd name="connsiteY24" fmla="*/ 1390678 h 3923699"/>
                  <a:gd name="connsiteX25" fmla="*/ 0 w 1489775"/>
                  <a:gd name="connsiteY25" fmla="*/ 1030958 h 3923699"/>
                  <a:gd name="connsiteX26" fmla="*/ 280204 w 1489775"/>
                  <a:gd name="connsiteY26" fmla="*/ 750754 h 3923699"/>
                  <a:gd name="connsiteX27" fmla="*/ 744888 w 1489775"/>
                  <a:gd name="connsiteY27" fmla="*/ 0 h 3923699"/>
                  <a:gd name="connsiteX28" fmla="*/ 1082199 w 1489775"/>
                  <a:gd name="connsiteY28" fmla="*/ 337311 h 3923699"/>
                  <a:gd name="connsiteX29" fmla="*/ 744888 w 1489775"/>
                  <a:gd name="connsiteY29" fmla="*/ 674622 h 3923699"/>
                  <a:gd name="connsiteX30" fmla="*/ 407577 w 1489775"/>
                  <a:gd name="connsiteY30" fmla="*/ 337311 h 3923699"/>
                  <a:gd name="connsiteX31" fmla="*/ 744888 w 1489775"/>
                  <a:gd name="connsiteY31" fmla="*/ 0 h 392369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</a:cxnLst>
                <a:rect l="l" t="t" r="r" b="b"/>
                <a:pathLst>
                  <a:path w="1489775" h="3923699">
                    <a:moveTo>
                      <a:pt x="280204" y="750754"/>
                    </a:moveTo>
                    <a:lnTo>
                      <a:pt x="1209570" y="750754"/>
                    </a:lnTo>
                    <a:cubicBezTo>
                      <a:pt x="1364322" y="750754"/>
                      <a:pt x="1489774" y="876206"/>
                      <a:pt x="1489774" y="1030958"/>
                    </a:cubicBezTo>
                    <a:lnTo>
                      <a:pt x="1489774" y="1293518"/>
                    </a:lnTo>
                    <a:lnTo>
                      <a:pt x="1489775" y="1293518"/>
                    </a:lnTo>
                    <a:lnTo>
                      <a:pt x="1489775" y="2063902"/>
                    </a:lnTo>
                    <a:cubicBezTo>
                      <a:pt x="1489775" y="2143440"/>
                      <a:pt x="1425297" y="2207918"/>
                      <a:pt x="1345759" y="2207918"/>
                    </a:cubicBezTo>
                    <a:cubicBezTo>
                      <a:pt x="1266221" y="2207918"/>
                      <a:pt x="1201743" y="2143440"/>
                      <a:pt x="1201743" y="2063902"/>
                    </a:cubicBezTo>
                    <a:lnTo>
                      <a:pt x="1201743" y="1390678"/>
                    </a:lnTo>
                    <a:lnTo>
                      <a:pt x="1158887" y="1390678"/>
                    </a:lnTo>
                    <a:cubicBezTo>
                      <a:pt x="1156542" y="2175018"/>
                      <a:pt x="1154198" y="2959359"/>
                      <a:pt x="1151853" y="3743699"/>
                    </a:cubicBezTo>
                    <a:cubicBezTo>
                      <a:pt x="1151853" y="3843110"/>
                      <a:pt x="1071264" y="3923699"/>
                      <a:pt x="971853" y="3923699"/>
                    </a:cubicBezTo>
                    <a:cubicBezTo>
                      <a:pt x="872442" y="3923699"/>
                      <a:pt x="791853" y="3843110"/>
                      <a:pt x="791853" y="3743699"/>
                    </a:cubicBezTo>
                    <a:lnTo>
                      <a:pt x="791853" y="2305078"/>
                    </a:lnTo>
                    <a:lnTo>
                      <a:pt x="683854" y="2305078"/>
                    </a:lnTo>
                    <a:lnTo>
                      <a:pt x="683854" y="3743698"/>
                    </a:lnTo>
                    <a:cubicBezTo>
                      <a:pt x="683854" y="3843109"/>
                      <a:pt x="603265" y="3923698"/>
                      <a:pt x="503854" y="3923698"/>
                    </a:cubicBezTo>
                    <a:cubicBezTo>
                      <a:pt x="404443" y="3923698"/>
                      <a:pt x="323854" y="3843109"/>
                      <a:pt x="323854" y="3743698"/>
                    </a:cubicBezTo>
                    <a:cubicBezTo>
                      <a:pt x="326198" y="2959358"/>
                      <a:pt x="328543" y="2175018"/>
                      <a:pt x="330887" y="1390678"/>
                    </a:cubicBezTo>
                    <a:lnTo>
                      <a:pt x="288033" y="1390678"/>
                    </a:lnTo>
                    <a:lnTo>
                      <a:pt x="288033" y="2063902"/>
                    </a:lnTo>
                    <a:cubicBezTo>
                      <a:pt x="288033" y="2143440"/>
                      <a:pt x="223555" y="2207918"/>
                      <a:pt x="144017" y="2207918"/>
                    </a:cubicBezTo>
                    <a:cubicBezTo>
                      <a:pt x="64479" y="2207918"/>
                      <a:pt x="1" y="2143440"/>
                      <a:pt x="1" y="2063902"/>
                    </a:cubicBezTo>
                    <a:lnTo>
                      <a:pt x="1" y="1390678"/>
                    </a:lnTo>
                    <a:lnTo>
                      <a:pt x="0" y="1390678"/>
                    </a:lnTo>
                    <a:lnTo>
                      <a:pt x="0" y="1030958"/>
                    </a:lnTo>
                    <a:cubicBezTo>
                      <a:pt x="0" y="876206"/>
                      <a:pt x="125452" y="750754"/>
                      <a:pt x="280204" y="750754"/>
                    </a:cubicBezTo>
                    <a:close/>
                    <a:moveTo>
                      <a:pt x="744888" y="0"/>
                    </a:moveTo>
                    <a:cubicBezTo>
                      <a:pt x="931180" y="0"/>
                      <a:pt x="1082199" y="151019"/>
                      <a:pt x="1082199" y="337311"/>
                    </a:cubicBezTo>
                    <a:cubicBezTo>
                      <a:pt x="1082199" y="523603"/>
                      <a:pt x="931180" y="674622"/>
                      <a:pt x="744888" y="674622"/>
                    </a:cubicBezTo>
                    <a:cubicBezTo>
                      <a:pt x="558596" y="674622"/>
                      <a:pt x="407577" y="523603"/>
                      <a:pt x="407577" y="337311"/>
                    </a:cubicBezTo>
                    <a:cubicBezTo>
                      <a:pt x="407577" y="151019"/>
                      <a:pt x="558596" y="0"/>
                      <a:pt x="744888" y="0"/>
                    </a:cubicBezTo>
                    <a:close/>
                  </a:path>
                </a:pathLst>
              </a:custGeom>
              <a:solidFill>
                <a:sysClr val="windowText" lastClr="000000"/>
              </a:solidFill>
              <a:ln>
                <a:noFill/>
              </a:ln>
              <a:effectLst/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marR="0" lvl="0" indent="0" algn="ctr" defTabSz="914400" rtl="0" eaLnBrk="1" fontAlgn="auto" latinLnBrk="1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ko-KR" altLang="en-US" sz="18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맑은 고딕" panose="020B0503020000020004" pitchFamily="34" charset="-127"/>
                  <a:cs typeface="+mn-cs"/>
                </a:endParaRPr>
              </a:p>
            </xdr:txBody>
          </xdr:sp>
          <xdr:sp macro="" textlink="">
            <xdr:nvSpPr>
              <xdr:cNvPr id="25" name="Round Same Side Corner Rectangle 20">
                <a:extLst>
                  <a:ext uri="{FF2B5EF4-FFF2-40B4-BE49-F238E27FC236}">
                    <a16:creationId xmlns:a16="http://schemas.microsoft.com/office/drawing/2014/main" id="{00000000-0008-0000-0F00-000026000000}"/>
                  </a:ext>
                </a:extLst>
              </xdr:cNvPr>
              <xdr:cNvSpPr/>
            </xdr:nvSpPr>
            <xdr:spPr>
              <a:xfrm rot="10800000">
                <a:off x="6362610" y="5053883"/>
                <a:ext cx="466499" cy="389560"/>
              </a:xfrm>
              <a:custGeom>
                <a:avLst/>
                <a:gdLst>
                  <a:gd name="connsiteX0" fmla="*/ 1228565 w 1856332"/>
                  <a:gd name="connsiteY0" fmla="*/ 3214674 h 3959924"/>
                  <a:gd name="connsiteX1" fmla="*/ 622681 w 1856332"/>
                  <a:gd name="connsiteY1" fmla="*/ 3214674 h 3959924"/>
                  <a:gd name="connsiteX2" fmla="*/ 521281 w 1856332"/>
                  <a:gd name="connsiteY2" fmla="*/ 3174669 h 3959924"/>
                  <a:gd name="connsiteX3" fmla="*/ 466697 w 1856332"/>
                  <a:gd name="connsiteY3" fmla="*/ 3144149 h 3959924"/>
                  <a:gd name="connsiteX4" fmla="*/ 8303 w 1856332"/>
                  <a:gd name="connsiteY4" fmla="*/ 1942070 h 3959924"/>
                  <a:gd name="connsiteX5" fmla="*/ 81139 w 1856332"/>
                  <a:gd name="connsiteY5" fmla="*/ 1779444 h 3959924"/>
                  <a:gd name="connsiteX6" fmla="*/ 243764 w 1856332"/>
                  <a:gd name="connsiteY6" fmla="*/ 1852280 h 3959924"/>
                  <a:gd name="connsiteX7" fmla="*/ 504770 w 1856332"/>
                  <a:gd name="connsiteY7" fmla="*/ 2536736 h 3959924"/>
                  <a:gd name="connsiteX8" fmla="*/ 555637 w 1856332"/>
                  <a:gd name="connsiteY8" fmla="*/ 2536736 h 3959924"/>
                  <a:gd name="connsiteX9" fmla="*/ 226299 w 1856332"/>
                  <a:gd name="connsiteY9" fmla="*/ 1210417 h 3959924"/>
                  <a:gd name="connsiteX10" fmla="*/ 551784 w 1856332"/>
                  <a:gd name="connsiteY10" fmla="*/ 1210417 h 3959924"/>
                  <a:gd name="connsiteX11" fmla="*/ 551784 w 1856332"/>
                  <a:gd name="connsiteY11" fmla="*/ 168335 h 3959924"/>
                  <a:gd name="connsiteX12" fmla="*/ 720119 w 1856332"/>
                  <a:gd name="connsiteY12" fmla="*/ 0 h 3959924"/>
                  <a:gd name="connsiteX13" fmla="*/ 888454 w 1856332"/>
                  <a:gd name="connsiteY13" fmla="*/ 168335 h 3959924"/>
                  <a:gd name="connsiteX14" fmla="*/ 888454 w 1856332"/>
                  <a:gd name="connsiteY14" fmla="*/ 1210417 h 3959924"/>
                  <a:gd name="connsiteX15" fmla="*/ 968040 w 1856332"/>
                  <a:gd name="connsiteY15" fmla="*/ 1210417 h 3959924"/>
                  <a:gd name="connsiteX16" fmla="*/ 968040 w 1856332"/>
                  <a:gd name="connsiteY16" fmla="*/ 168335 h 3959924"/>
                  <a:gd name="connsiteX17" fmla="*/ 1136375 w 1856332"/>
                  <a:gd name="connsiteY17" fmla="*/ 0 h 3959924"/>
                  <a:gd name="connsiteX18" fmla="*/ 1304710 w 1856332"/>
                  <a:gd name="connsiteY18" fmla="*/ 168335 h 3959924"/>
                  <a:gd name="connsiteX19" fmla="*/ 1304710 w 1856332"/>
                  <a:gd name="connsiteY19" fmla="*/ 1210417 h 3959924"/>
                  <a:gd name="connsiteX20" fmla="*/ 1631589 w 1856332"/>
                  <a:gd name="connsiteY20" fmla="*/ 1210417 h 3959924"/>
                  <a:gd name="connsiteX21" fmla="*/ 1302251 w 1856332"/>
                  <a:gd name="connsiteY21" fmla="*/ 2536736 h 3959924"/>
                  <a:gd name="connsiteX22" fmla="*/ 1351562 w 1856332"/>
                  <a:gd name="connsiteY22" fmla="*/ 2536736 h 3959924"/>
                  <a:gd name="connsiteX23" fmla="*/ 1612568 w 1856332"/>
                  <a:gd name="connsiteY23" fmla="*/ 1852280 h 3959924"/>
                  <a:gd name="connsiteX24" fmla="*/ 1775193 w 1856332"/>
                  <a:gd name="connsiteY24" fmla="*/ 1779444 h 3959924"/>
                  <a:gd name="connsiteX25" fmla="*/ 1848029 w 1856332"/>
                  <a:gd name="connsiteY25" fmla="*/ 1942070 h 3959924"/>
                  <a:gd name="connsiteX26" fmla="*/ 1389635 w 1856332"/>
                  <a:gd name="connsiteY26" fmla="*/ 3144149 h 3959924"/>
                  <a:gd name="connsiteX27" fmla="*/ 1344732 w 1856332"/>
                  <a:gd name="connsiteY27" fmla="*/ 3176282 h 3959924"/>
                  <a:gd name="connsiteX28" fmla="*/ 1228565 w 1856332"/>
                  <a:gd name="connsiteY28" fmla="*/ 3214674 h 3959924"/>
                  <a:gd name="connsiteX29" fmla="*/ 925623 w 1856332"/>
                  <a:gd name="connsiteY29" fmla="*/ 3959924 h 3959924"/>
                  <a:gd name="connsiteX30" fmla="*/ 601623 w 1856332"/>
                  <a:gd name="connsiteY30" fmla="*/ 3635924 h 3959924"/>
                  <a:gd name="connsiteX31" fmla="*/ 925623 w 1856332"/>
                  <a:gd name="connsiteY31" fmla="*/ 3311924 h 3959924"/>
                  <a:gd name="connsiteX32" fmla="*/ 1249623 w 1856332"/>
                  <a:gd name="connsiteY32" fmla="*/ 3635924 h 3959924"/>
                  <a:gd name="connsiteX33" fmla="*/ 925623 w 1856332"/>
                  <a:gd name="connsiteY33" fmla="*/ 3959924 h 3959924"/>
                  <a:gd name="connsiteX0" fmla="*/ 1228565 w 1856332"/>
                  <a:gd name="connsiteY0" fmla="*/ 3214674 h 3959924"/>
                  <a:gd name="connsiteX1" fmla="*/ 622681 w 1856332"/>
                  <a:gd name="connsiteY1" fmla="*/ 3214674 h 3959924"/>
                  <a:gd name="connsiteX2" fmla="*/ 466697 w 1856332"/>
                  <a:gd name="connsiteY2" fmla="*/ 3144149 h 3959924"/>
                  <a:gd name="connsiteX3" fmla="*/ 8303 w 1856332"/>
                  <a:gd name="connsiteY3" fmla="*/ 1942070 h 3959924"/>
                  <a:gd name="connsiteX4" fmla="*/ 81139 w 1856332"/>
                  <a:gd name="connsiteY4" fmla="*/ 1779444 h 3959924"/>
                  <a:gd name="connsiteX5" fmla="*/ 243764 w 1856332"/>
                  <a:gd name="connsiteY5" fmla="*/ 1852280 h 3959924"/>
                  <a:gd name="connsiteX6" fmla="*/ 504770 w 1856332"/>
                  <a:gd name="connsiteY6" fmla="*/ 2536736 h 3959924"/>
                  <a:gd name="connsiteX7" fmla="*/ 555637 w 1856332"/>
                  <a:gd name="connsiteY7" fmla="*/ 2536736 h 3959924"/>
                  <a:gd name="connsiteX8" fmla="*/ 226299 w 1856332"/>
                  <a:gd name="connsiteY8" fmla="*/ 1210417 h 3959924"/>
                  <a:gd name="connsiteX9" fmla="*/ 551784 w 1856332"/>
                  <a:gd name="connsiteY9" fmla="*/ 1210417 h 3959924"/>
                  <a:gd name="connsiteX10" fmla="*/ 551784 w 1856332"/>
                  <a:gd name="connsiteY10" fmla="*/ 168335 h 3959924"/>
                  <a:gd name="connsiteX11" fmla="*/ 720119 w 1856332"/>
                  <a:gd name="connsiteY11" fmla="*/ 0 h 3959924"/>
                  <a:gd name="connsiteX12" fmla="*/ 888454 w 1856332"/>
                  <a:gd name="connsiteY12" fmla="*/ 168335 h 3959924"/>
                  <a:gd name="connsiteX13" fmla="*/ 888454 w 1856332"/>
                  <a:gd name="connsiteY13" fmla="*/ 1210417 h 3959924"/>
                  <a:gd name="connsiteX14" fmla="*/ 968040 w 1856332"/>
                  <a:gd name="connsiteY14" fmla="*/ 1210417 h 3959924"/>
                  <a:gd name="connsiteX15" fmla="*/ 968040 w 1856332"/>
                  <a:gd name="connsiteY15" fmla="*/ 168335 h 3959924"/>
                  <a:gd name="connsiteX16" fmla="*/ 1136375 w 1856332"/>
                  <a:gd name="connsiteY16" fmla="*/ 0 h 3959924"/>
                  <a:gd name="connsiteX17" fmla="*/ 1304710 w 1856332"/>
                  <a:gd name="connsiteY17" fmla="*/ 168335 h 3959924"/>
                  <a:gd name="connsiteX18" fmla="*/ 1304710 w 1856332"/>
                  <a:gd name="connsiteY18" fmla="*/ 1210417 h 3959924"/>
                  <a:gd name="connsiteX19" fmla="*/ 1631589 w 1856332"/>
                  <a:gd name="connsiteY19" fmla="*/ 1210417 h 3959924"/>
                  <a:gd name="connsiteX20" fmla="*/ 1302251 w 1856332"/>
                  <a:gd name="connsiteY20" fmla="*/ 2536736 h 3959924"/>
                  <a:gd name="connsiteX21" fmla="*/ 1351562 w 1856332"/>
                  <a:gd name="connsiteY21" fmla="*/ 2536736 h 3959924"/>
                  <a:gd name="connsiteX22" fmla="*/ 1612568 w 1856332"/>
                  <a:gd name="connsiteY22" fmla="*/ 1852280 h 3959924"/>
                  <a:gd name="connsiteX23" fmla="*/ 1775193 w 1856332"/>
                  <a:gd name="connsiteY23" fmla="*/ 1779444 h 3959924"/>
                  <a:gd name="connsiteX24" fmla="*/ 1848029 w 1856332"/>
                  <a:gd name="connsiteY24" fmla="*/ 1942070 h 3959924"/>
                  <a:gd name="connsiteX25" fmla="*/ 1389635 w 1856332"/>
                  <a:gd name="connsiteY25" fmla="*/ 3144149 h 3959924"/>
                  <a:gd name="connsiteX26" fmla="*/ 1344732 w 1856332"/>
                  <a:gd name="connsiteY26" fmla="*/ 3176282 h 3959924"/>
                  <a:gd name="connsiteX27" fmla="*/ 1228565 w 1856332"/>
                  <a:gd name="connsiteY27" fmla="*/ 3214674 h 3959924"/>
                  <a:gd name="connsiteX28" fmla="*/ 925623 w 1856332"/>
                  <a:gd name="connsiteY28" fmla="*/ 3959924 h 3959924"/>
                  <a:gd name="connsiteX29" fmla="*/ 601623 w 1856332"/>
                  <a:gd name="connsiteY29" fmla="*/ 3635924 h 3959924"/>
                  <a:gd name="connsiteX30" fmla="*/ 925623 w 1856332"/>
                  <a:gd name="connsiteY30" fmla="*/ 3311924 h 3959924"/>
                  <a:gd name="connsiteX31" fmla="*/ 1249623 w 1856332"/>
                  <a:gd name="connsiteY31" fmla="*/ 3635924 h 3959924"/>
                  <a:gd name="connsiteX32" fmla="*/ 925623 w 1856332"/>
                  <a:gd name="connsiteY32" fmla="*/ 3959924 h 3959924"/>
                  <a:gd name="connsiteX0" fmla="*/ 1228565 w 1856332"/>
                  <a:gd name="connsiteY0" fmla="*/ 3214674 h 3959924"/>
                  <a:gd name="connsiteX1" fmla="*/ 622681 w 1856332"/>
                  <a:gd name="connsiteY1" fmla="*/ 3214674 h 3959924"/>
                  <a:gd name="connsiteX2" fmla="*/ 466697 w 1856332"/>
                  <a:gd name="connsiteY2" fmla="*/ 3144149 h 3959924"/>
                  <a:gd name="connsiteX3" fmla="*/ 8303 w 1856332"/>
                  <a:gd name="connsiteY3" fmla="*/ 1942070 h 3959924"/>
                  <a:gd name="connsiteX4" fmla="*/ 81139 w 1856332"/>
                  <a:gd name="connsiteY4" fmla="*/ 1779444 h 3959924"/>
                  <a:gd name="connsiteX5" fmla="*/ 243764 w 1856332"/>
                  <a:gd name="connsiteY5" fmla="*/ 1852280 h 3959924"/>
                  <a:gd name="connsiteX6" fmla="*/ 504770 w 1856332"/>
                  <a:gd name="connsiteY6" fmla="*/ 2536736 h 3959924"/>
                  <a:gd name="connsiteX7" fmla="*/ 555637 w 1856332"/>
                  <a:gd name="connsiteY7" fmla="*/ 2536736 h 3959924"/>
                  <a:gd name="connsiteX8" fmla="*/ 226299 w 1856332"/>
                  <a:gd name="connsiteY8" fmla="*/ 1210417 h 3959924"/>
                  <a:gd name="connsiteX9" fmla="*/ 551784 w 1856332"/>
                  <a:gd name="connsiteY9" fmla="*/ 1210417 h 3959924"/>
                  <a:gd name="connsiteX10" fmla="*/ 551784 w 1856332"/>
                  <a:gd name="connsiteY10" fmla="*/ 168335 h 3959924"/>
                  <a:gd name="connsiteX11" fmla="*/ 720119 w 1856332"/>
                  <a:gd name="connsiteY11" fmla="*/ 0 h 3959924"/>
                  <a:gd name="connsiteX12" fmla="*/ 888454 w 1856332"/>
                  <a:gd name="connsiteY12" fmla="*/ 168335 h 3959924"/>
                  <a:gd name="connsiteX13" fmla="*/ 888454 w 1856332"/>
                  <a:gd name="connsiteY13" fmla="*/ 1210417 h 3959924"/>
                  <a:gd name="connsiteX14" fmla="*/ 968040 w 1856332"/>
                  <a:gd name="connsiteY14" fmla="*/ 1210417 h 3959924"/>
                  <a:gd name="connsiteX15" fmla="*/ 968040 w 1856332"/>
                  <a:gd name="connsiteY15" fmla="*/ 168335 h 3959924"/>
                  <a:gd name="connsiteX16" fmla="*/ 1136375 w 1856332"/>
                  <a:gd name="connsiteY16" fmla="*/ 0 h 3959924"/>
                  <a:gd name="connsiteX17" fmla="*/ 1304710 w 1856332"/>
                  <a:gd name="connsiteY17" fmla="*/ 168335 h 3959924"/>
                  <a:gd name="connsiteX18" fmla="*/ 1304710 w 1856332"/>
                  <a:gd name="connsiteY18" fmla="*/ 1210417 h 3959924"/>
                  <a:gd name="connsiteX19" fmla="*/ 1631589 w 1856332"/>
                  <a:gd name="connsiteY19" fmla="*/ 1210417 h 3959924"/>
                  <a:gd name="connsiteX20" fmla="*/ 1302251 w 1856332"/>
                  <a:gd name="connsiteY20" fmla="*/ 2536736 h 3959924"/>
                  <a:gd name="connsiteX21" fmla="*/ 1351562 w 1856332"/>
                  <a:gd name="connsiteY21" fmla="*/ 2536736 h 3959924"/>
                  <a:gd name="connsiteX22" fmla="*/ 1612568 w 1856332"/>
                  <a:gd name="connsiteY22" fmla="*/ 1852280 h 3959924"/>
                  <a:gd name="connsiteX23" fmla="*/ 1775193 w 1856332"/>
                  <a:gd name="connsiteY23" fmla="*/ 1779444 h 3959924"/>
                  <a:gd name="connsiteX24" fmla="*/ 1848029 w 1856332"/>
                  <a:gd name="connsiteY24" fmla="*/ 1942070 h 3959924"/>
                  <a:gd name="connsiteX25" fmla="*/ 1389635 w 1856332"/>
                  <a:gd name="connsiteY25" fmla="*/ 3144149 h 3959924"/>
                  <a:gd name="connsiteX26" fmla="*/ 1344732 w 1856332"/>
                  <a:gd name="connsiteY26" fmla="*/ 3176282 h 3959924"/>
                  <a:gd name="connsiteX27" fmla="*/ 1228565 w 1856332"/>
                  <a:gd name="connsiteY27" fmla="*/ 3214674 h 3959924"/>
                  <a:gd name="connsiteX28" fmla="*/ 925623 w 1856332"/>
                  <a:gd name="connsiteY28" fmla="*/ 3959924 h 3959924"/>
                  <a:gd name="connsiteX29" fmla="*/ 601623 w 1856332"/>
                  <a:gd name="connsiteY29" fmla="*/ 3635924 h 3959924"/>
                  <a:gd name="connsiteX30" fmla="*/ 925623 w 1856332"/>
                  <a:gd name="connsiteY30" fmla="*/ 3311924 h 3959924"/>
                  <a:gd name="connsiteX31" fmla="*/ 1249623 w 1856332"/>
                  <a:gd name="connsiteY31" fmla="*/ 3635924 h 3959924"/>
                  <a:gd name="connsiteX32" fmla="*/ 925623 w 1856332"/>
                  <a:gd name="connsiteY32" fmla="*/ 3959924 h 3959924"/>
                  <a:gd name="connsiteX0" fmla="*/ 1228565 w 1856332"/>
                  <a:gd name="connsiteY0" fmla="*/ 3214674 h 3959924"/>
                  <a:gd name="connsiteX1" fmla="*/ 622681 w 1856332"/>
                  <a:gd name="connsiteY1" fmla="*/ 3214674 h 3959924"/>
                  <a:gd name="connsiteX2" fmla="*/ 466697 w 1856332"/>
                  <a:gd name="connsiteY2" fmla="*/ 3144149 h 3959924"/>
                  <a:gd name="connsiteX3" fmla="*/ 8303 w 1856332"/>
                  <a:gd name="connsiteY3" fmla="*/ 1942070 h 3959924"/>
                  <a:gd name="connsiteX4" fmla="*/ 81139 w 1856332"/>
                  <a:gd name="connsiteY4" fmla="*/ 1779444 h 3959924"/>
                  <a:gd name="connsiteX5" fmla="*/ 243764 w 1856332"/>
                  <a:gd name="connsiteY5" fmla="*/ 1852280 h 3959924"/>
                  <a:gd name="connsiteX6" fmla="*/ 504770 w 1856332"/>
                  <a:gd name="connsiteY6" fmla="*/ 2536736 h 3959924"/>
                  <a:gd name="connsiteX7" fmla="*/ 555637 w 1856332"/>
                  <a:gd name="connsiteY7" fmla="*/ 2536736 h 3959924"/>
                  <a:gd name="connsiteX8" fmla="*/ 226299 w 1856332"/>
                  <a:gd name="connsiteY8" fmla="*/ 1210417 h 3959924"/>
                  <a:gd name="connsiteX9" fmla="*/ 551784 w 1856332"/>
                  <a:gd name="connsiteY9" fmla="*/ 1210417 h 3959924"/>
                  <a:gd name="connsiteX10" fmla="*/ 551784 w 1856332"/>
                  <a:gd name="connsiteY10" fmla="*/ 168335 h 3959924"/>
                  <a:gd name="connsiteX11" fmla="*/ 720119 w 1856332"/>
                  <a:gd name="connsiteY11" fmla="*/ 0 h 3959924"/>
                  <a:gd name="connsiteX12" fmla="*/ 888454 w 1856332"/>
                  <a:gd name="connsiteY12" fmla="*/ 168335 h 3959924"/>
                  <a:gd name="connsiteX13" fmla="*/ 888454 w 1856332"/>
                  <a:gd name="connsiteY13" fmla="*/ 1210417 h 3959924"/>
                  <a:gd name="connsiteX14" fmla="*/ 968040 w 1856332"/>
                  <a:gd name="connsiteY14" fmla="*/ 1210417 h 3959924"/>
                  <a:gd name="connsiteX15" fmla="*/ 968040 w 1856332"/>
                  <a:gd name="connsiteY15" fmla="*/ 168335 h 3959924"/>
                  <a:gd name="connsiteX16" fmla="*/ 1136375 w 1856332"/>
                  <a:gd name="connsiteY16" fmla="*/ 0 h 3959924"/>
                  <a:gd name="connsiteX17" fmla="*/ 1304710 w 1856332"/>
                  <a:gd name="connsiteY17" fmla="*/ 168335 h 3959924"/>
                  <a:gd name="connsiteX18" fmla="*/ 1304710 w 1856332"/>
                  <a:gd name="connsiteY18" fmla="*/ 1210417 h 3959924"/>
                  <a:gd name="connsiteX19" fmla="*/ 1631589 w 1856332"/>
                  <a:gd name="connsiteY19" fmla="*/ 1210417 h 3959924"/>
                  <a:gd name="connsiteX20" fmla="*/ 1302251 w 1856332"/>
                  <a:gd name="connsiteY20" fmla="*/ 2536736 h 3959924"/>
                  <a:gd name="connsiteX21" fmla="*/ 1351562 w 1856332"/>
                  <a:gd name="connsiteY21" fmla="*/ 2536736 h 3959924"/>
                  <a:gd name="connsiteX22" fmla="*/ 1612568 w 1856332"/>
                  <a:gd name="connsiteY22" fmla="*/ 1852280 h 3959924"/>
                  <a:gd name="connsiteX23" fmla="*/ 1775193 w 1856332"/>
                  <a:gd name="connsiteY23" fmla="*/ 1779444 h 3959924"/>
                  <a:gd name="connsiteX24" fmla="*/ 1848029 w 1856332"/>
                  <a:gd name="connsiteY24" fmla="*/ 1942070 h 3959924"/>
                  <a:gd name="connsiteX25" fmla="*/ 1389635 w 1856332"/>
                  <a:gd name="connsiteY25" fmla="*/ 3144149 h 3959924"/>
                  <a:gd name="connsiteX26" fmla="*/ 1228565 w 1856332"/>
                  <a:gd name="connsiteY26" fmla="*/ 3214674 h 3959924"/>
                  <a:gd name="connsiteX27" fmla="*/ 925623 w 1856332"/>
                  <a:gd name="connsiteY27" fmla="*/ 3959924 h 3959924"/>
                  <a:gd name="connsiteX28" fmla="*/ 601623 w 1856332"/>
                  <a:gd name="connsiteY28" fmla="*/ 3635924 h 3959924"/>
                  <a:gd name="connsiteX29" fmla="*/ 925623 w 1856332"/>
                  <a:gd name="connsiteY29" fmla="*/ 3311924 h 3959924"/>
                  <a:gd name="connsiteX30" fmla="*/ 1249623 w 1856332"/>
                  <a:gd name="connsiteY30" fmla="*/ 3635924 h 3959924"/>
                  <a:gd name="connsiteX31" fmla="*/ 925623 w 1856332"/>
                  <a:gd name="connsiteY31" fmla="*/ 3959924 h 3959924"/>
                  <a:gd name="connsiteX0" fmla="*/ 1228565 w 1856332"/>
                  <a:gd name="connsiteY0" fmla="*/ 3214674 h 3959924"/>
                  <a:gd name="connsiteX1" fmla="*/ 622681 w 1856332"/>
                  <a:gd name="connsiteY1" fmla="*/ 3214674 h 3959924"/>
                  <a:gd name="connsiteX2" fmla="*/ 466697 w 1856332"/>
                  <a:gd name="connsiteY2" fmla="*/ 3144149 h 3959924"/>
                  <a:gd name="connsiteX3" fmla="*/ 8303 w 1856332"/>
                  <a:gd name="connsiteY3" fmla="*/ 1942070 h 3959924"/>
                  <a:gd name="connsiteX4" fmla="*/ 81139 w 1856332"/>
                  <a:gd name="connsiteY4" fmla="*/ 1779444 h 3959924"/>
                  <a:gd name="connsiteX5" fmla="*/ 243764 w 1856332"/>
                  <a:gd name="connsiteY5" fmla="*/ 1852280 h 3959924"/>
                  <a:gd name="connsiteX6" fmla="*/ 504770 w 1856332"/>
                  <a:gd name="connsiteY6" fmla="*/ 2536736 h 3959924"/>
                  <a:gd name="connsiteX7" fmla="*/ 555637 w 1856332"/>
                  <a:gd name="connsiteY7" fmla="*/ 2536736 h 3959924"/>
                  <a:gd name="connsiteX8" fmla="*/ 226299 w 1856332"/>
                  <a:gd name="connsiteY8" fmla="*/ 1210417 h 3959924"/>
                  <a:gd name="connsiteX9" fmla="*/ 551784 w 1856332"/>
                  <a:gd name="connsiteY9" fmla="*/ 1210417 h 3959924"/>
                  <a:gd name="connsiteX10" fmla="*/ 551784 w 1856332"/>
                  <a:gd name="connsiteY10" fmla="*/ 168335 h 3959924"/>
                  <a:gd name="connsiteX11" fmla="*/ 720119 w 1856332"/>
                  <a:gd name="connsiteY11" fmla="*/ 0 h 3959924"/>
                  <a:gd name="connsiteX12" fmla="*/ 888454 w 1856332"/>
                  <a:gd name="connsiteY12" fmla="*/ 168335 h 3959924"/>
                  <a:gd name="connsiteX13" fmla="*/ 888454 w 1856332"/>
                  <a:gd name="connsiteY13" fmla="*/ 1210417 h 3959924"/>
                  <a:gd name="connsiteX14" fmla="*/ 968040 w 1856332"/>
                  <a:gd name="connsiteY14" fmla="*/ 1210417 h 3959924"/>
                  <a:gd name="connsiteX15" fmla="*/ 968040 w 1856332"/>
                  <a:gd name="connsiteY15" fmla="*/ 168335 h 3959924"/>
                  <a:gd name="connsiteX16" fmla="*/ 1136375 w 1856332"/>
                  <a:gd name="connsiteY16" fmla="*/ 0 h 3959924"/>
                  <a:gd name="connsiteX17" fmla="*/ 1304710 w 1856332"/>
                  <a:gd name="connsiteY17" fmla="*/ 168335 h 3959924"/>
                  <a:gd name="connsiteX18" fmla="*/ 1304710 w 1856332"/>
                  <a:gd name="connsiteY18" fmla="*/ 1210417 h 3959924"/>
                  <a:gd name="connsiteX19" fmla="*/ 1631589 w 1856332"/>
                  <a:gd name="connsiteY19" fmla="*/ 1210417 h 3959924"/>
                  <a:gd name="connsiteX20" fmla="*/ 1302251 w 1856332"/>
                  <a:gd name="connsiteY20" fmla="*/ 2536736 h 3959924"/>
                  <a:gd name="connsiteX21" fmla="*/ 1351562 w 1856332"/>
                  <a:gd name="connsiteY21" fmla="*/ 2536736 h 3959924"/>
                  <a:gd name="connsiteX22" fmla="*/ 1612568 w 1856332"/>
                  <a:gd name="connsiteY22" fmla="*/ 1852280 h 3959924"/>
                  <a:gd name="connsiteX23" fmla="*/ 1775193 w 1856332"/>
                  <a:gd name="connsiteY23" fmla="*/ 1779444 h 3959924"/>
                  <a:gd name="connsiteX24" fmla="*/ 1848029 w 1856332"/>
                  <a:gd name="connsiteY24" fmla="*/ 1942070 h 3959924"/>
                  <a:gd name="connsiteX25" fmla="*/ 1389635 w 1856332"/>
                  <a:gd name="connsiteY25" fmla="*/ 3144149 h 3959924"/>
                  <a:gd name="connsiteX26" fmla="*/ 1228565 w 1856332"/>
                  <a:gd name="connsiteY26" fmla="*/ 3214674 h 3959924"/>
                  <a:gd name="connsiteX27" fmla="*/ 925623 w 1856332"/>
                  <a:gd name="connsiteY27" fmla="*/ 3959924 h 3959924"/>
                  <a:gd name="connsiteX28" fmla="*/ 601623 w 1856332"/>
                  <a:gd name="connsiteY28" fmla="*/ 3635924 h 3959924"/>
                  <a:gd name="connsiteX29" fmla="*/ 925623 w 1856332"/>
                  <a:gd name="connsiteY29" fmla="*/ 3311924 h 3959924"/>
                  <a:gd name="connsiteX30" fmla="*/ 1249623 w 1856332"/>
                  <a:gd name="connsiteY30" fmla="*/ 3635924 h 3959924"/>
                  <a:gd name="connsiteX31" fmla="*/ 925623 w 1856332"/>
                  <a:gd name="connsiteY31" fmla="*/ 3959924 h 3959924"/>
                  <a:gd name="connsiteX0" fmla="*/ 1228565 w 1856332"/>
                  <a:gd name="connsiteY0" fmla="*/ 3214674 h 3959924"/>
                  <a:gd name="connsiteX1" fmla="*/ 622681 w 1856332"/>
                  <a:gd name="connsiteY1" fmla="*/ 3214674 h 3959924"/>
                  <a:gd name="connsiteX2" fmla="*/ 466697 w 1856332"/>
                  <a:gd name="connsiteY2" fmla="*/ 3144149 h 3959924"/>
                  <a:gd name="connsiteX3" fmla="*/ 8303 w 1856332"/>
                  <a:gd name="connsiteY3" fmla="*/ 1942070 h 3959924"/>
                  <a:gd name="connsiteX4" fmla="*/ 81139 w 1856332"/>
                  <a:gd name="connsiteY4" fmla="*/ 1779444 h 3959924"/>
                  <a:gd name="connsiteX5" fmla="*/ 243764 w 1856332"/>
                  <a:gd name="connsiteY5" fmla="*/ 1852280 h 3959924"/>
                  <a:gd name="connsiteX6" fmla="*/ 504770 w 1856332"/>
                  <a:gd name="connsiteY6" fmla="*/ 2536736 h 3959924"/>
                  <a:gd name="connsiteX7" fmla="*/ 555637 w 1856332"/>
                  <a:gd name="connsiteY7" fmla="*/ 2536736 h 3959924"/>
                  <a:gd name="connsiteX8" fmla="*/ 226299 w 1856332"/>
                  <a:gd name="connsiteY8" fmla="*/ 1210417 h 3959924"/>
                  <a:gd name="connsiteX9" fmla="*/ 551784 w 1856332"/>
                  <a:gd name="connsiteY9" fmla="*/ 1210417 h 3959924"/>
                  <a:gd name="connsiteX10" fmla="*/ 551784 w 1856332"/>
                  <a:gd name="connsiteY10" fmla="*/ 168335 h 3959924"/>
                  <a:gd name="connsiteX11" fmla="*/ 720119 w 1856332"/>
                  <a:gd name="connsiteY11" fmla="*/ 0 h 3959924"/>
                  <a:gd name="connsiteX12" fmla="*/ 888454 w 1856332"/>
                  <a:gd name="connsiteY12" fmla="*/ 168335 h 3959924"/>
                  <a:gd name="connsiteX13" fmla="*/ 888454 w 1856332"/>
                  <a:gd name="connsiteY13" fmla="*/ 1210417 h 3959924"/>
                  <a:gd name="connsiteX14" fmla="*/ 968040 w 1856332"/>
                  <a:gd name="connsiteY14" fmla="*/ 1210417 h 3959924"/>
                  <a:gd name="connsiteX15" fmla="*/ 968040 w 1856332"/>
                  <a:gd name="connsiteY15" fmla="*/ 168335 h 3959924"/>
                  <a:gd name="connsiteX16" fmla="*/ 1136375 w 1856332"/>
                  <a:gd name="connsiteY16" fmla="*/ 0 h 3959924"/>
                  <a:gd name="connsiteX17" fmla="*/ 1304710 w 1856332"/>
                  <a:gd name="connsiteY17" fmla="*/ 168335 h 3959924"/>
                  <a:gd name="connsiteX18" fmla="*/ 1304710 w 1856332"/>
                  <a:gd name="connsiteY18" fmla="*/ 1210417 h 3959924"/>
                  <a:gd name="connsiteX19" fmla="*/ 1631589 w 1856332"/>
                  <a:gd name="connsiteY19" fmla="*/ 1210417 h 3959924"/>
                  <a:gd name="connsiteX20" fmla="*/ 1302251 w 1856332"/>
                  <a:gd name="connsiteY20" fmla="*/ 2536736 h 3959924"/>
                  <a:gd name="connsiteX21" fmla="*/ 1351562 w 1856332"/>
                  <a:gd name="connsiteY21" fmla="*/ 2536736 h 3959924"/>
                  <a:gd name="connsiteX22" fmla="*/ 1612568 w 1856332"/>
                  <a:gd name="connsiteY22" fmla="*/ 1852280 h 3959924"/>
                  <a:gd name="connsiteX23" fmla="*/ 1775193 w 1856332"/>
                  <a:gd name="connsiteY23" fmla="*/ 1779444 h 3959924"/>
                  <a:gd name="connsiteX24" fmla="*/ 1848029 w 1856332"/>
                  <a:gd name="connsiteY24" fmla="*/ 1942070 h 3959924"/>
                  <a:gd name="connsiteX25" fmla="*/ 1389635 w 1856332"/>
                  <a:gd name="connsiteY25" fmla="*/ 3144149 h 3959924"/>
                  <a:gd name="connsiteX26" fmla="*/ 1228565 w 1856332"/>
                  <a:gd name="connsiteY26" fmla="*/ 3214674 h 3959924"/>
                  <a:gd name="connsiteX27" fmla="*/ 925623 w 1856332"/>
                  <a:gd name="connsiteY27" fmla="*/ 3959924 h 3959924"/>
                  <a:gd name="connsiteX28" fmla="*/ 601623 w 1856332"/>
                  <a:gd name="connsiteY28" fmla="*/ 3635924 h 3959924"/>
                  <a:gd name="connsiteX29" fmla="*/ 925623 w 1856332"/>
                  <a:gd name="connsiteY29" fmla="*/ 3311924 h 3959924"/>
                  <a:gd name="connsiteX30" fmla="*/ 1249623 w 1856332"/>
                  <a:gd name="connsiteY30" fmla="*/ 3635924 h 3959924"/>
                  <a:gd name="connsiteX31" fmla="*/ 925623 w 1856332"/>
                  <a:gd name="connsiteY31" fmla="*/ 3959924 h 395992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</a:cxnLst>
                <a:rect l="l" t="t" r="r" b="b"/>
                <a:pathLst>
                  <a:path w="1856332" h="3959924">
                    <a:moveTo>
                      <a:pt x="1228565" y="3214674"/>
                    </a:moveTo>
                    <a:lnTo>
                      <a:pt x="622681" y="3214674"/>
                    </a:lnTo>
                    <a:cubicBezTo>
                      <a:pt x="495703" y="3202920"/>
                      <a:pt x="501057" y="3225622"/>
                      <a:pt x="466697" y="3144149"/>
                    </a:cubicBezTo>
                    <a:lnTo>
                      <a:pt x="8303" y="1942070"/>
                    </a:lnTo>
                    <a:cubicBezTo>
                      <a:pt x="-16491" y="1877049"/>
                      <a:pt x="16118" y="1804239"/>
                      <a:pt x="81139" y="1779444"/>
                    </a:cubicBezTo>
                    <a:cubicBezTo>
                      <a:pt x="146160" y="1754650"/>
                      <a:pt x="218970" y="1787259"/>
                      <a:pt x="243764" y="1852280"/>
                    </a:cubicBezTo>
                    <a:lnTo>
                      <a:pt x="504770" y="2536736"/>
                    </a:lnTo>
                    <a:lnTo>
                      <a:pt x="555637" y="2536736"/>
                    </a:lnTo>
                    <a:lnTo>
                      <a:pt x="226299" y="1210417"/>
                    </a:lnTo>
                    <a:lnTo>
                      <a:pt x="551784" y="1210417"/>
                    </a:lnTo>
                    <a:lnTo>
                      <a:pt x="551784" y="168335"/>
                    </a:lnTo>
                    <a:cubicBezTo>
                      <a:pt x="551784" y="75366"/>
                      <a:pt x="627150" y="0"/>
                      <a:pt x="720119" y="0"/>
                    </a:cubicBezTo>
                    <a:cubicBezTo>
                      <a:pt x="813088" y="0"/>
                      <a:pt x="888454" y="75366"/>
                      <a:pt x="888454" y="168335"/>
                    </a:cubicBezTo>
                    <a:lnTo>
                      <a:pt x="888454" y="1210417"/>
                    </a:lnTo>
                    <a:lnTo>
                      <a:pt x="968040" y="1210417"/>
                    </a:lnTo>
                    <a:lnTo>
                      <a:pt x="968040" y="168335"/>
                    </a:lnTo>
                    <a:cubicBezTo>
                      <a:pt x="968040" y="75366"/>
                      <a:pt x="1043406" y="0"/>
                      <a:pt x="1136375" y="0"/>
                    </a:cubicBezTo>
                    <a:cubicBezTo>
                      <a:pt x="1229344" y="0"/>
                      <a:pt x="1304710" y="75366"/>
                      <a:pt x="1304710" y="168335"/>
                    </a:cubicBezTo>
                    <a:lnTo>
                      <a:pt x="1304710" y="1210417"/>
                    </a:lnTo>
                    <a:lnTo>
                      <a:pt x="1631589" y="1210417"/>
                    </a:lnTo>
                    <a:lnTo>
                      <a:pt x="1302251" y="2536736"/>
                    </a:lnTo>
                    <a:lnTo>
                      <a:pt x="1351562" y="2536736"/>
                    </a:lnTo>
                    <a:lnTo>
                      <a:pt x="1612568" y="1852280"/>
                    </a:lnTo>
                    <a:cubicBezTo>
                      <a:pt x="1637362" y="1787259"/>
                      <a:pt x="1710172" y="1754650"/>
                      <a:pt x="1775193" y="1779444"/>
                    </a:cubicBezTo>
                    <a:cubicBezTo>
                      <a:pt x="1840214" y="1804239"/>
                      <a:pt x="1872823" y="1877049"/>
                      <a:pt x="1848029" y="1942070"/>
                    </a:cubicBezTo>
                    <a:lnTo>
                      <a:pt x="1389635" y="3144149"/>
                    </a:lnTo>
                    <a:cubicBezTo>
                      <a:pt x="1348984" y="3225622"/>
                      <a:pt x="1356391" y="3202920"/>
                      <a:pt x="1228565" y="3214674"/>
                    </a:cubicBezTo>
                    <a:close/>
                    <a:moveTo>
                      <a:pt x="925623" y="3959924"/>
                    </a:moveTo>
                    <a:cubicBezTo>
                      <a:pt x="746683" y="3959924"/>
                      <a:pt x="601623" y="3814864"/>
                      <a:pt x="601623" y="3635924"/>
                    </a:cubicBezTo>
                    <a:cubicBezTo>
                      <a:pt x="601623" y="3456984"/>
                      <a:pt x="746683" y="3311924"/>
                      <a:pt x="925623" y="3311924"/>
                    </a:cubicBezTo>
                    <a:cubicBezTo>
                      <a:pt x="1104563" y="3311924"/>
                      <a:pt x="1249623" y="3456984"/>
                      <a:pt x="1249623" y="3635924"/>
                    </a:cubicBezTo>
                    <a:cubicBezTo>
                      <a:pt x="1249623" y="3814864"/>
                      <a:pt x="1104563" y="3959924"/>
                      <a:pt x="925623" y="3959924"/>
                    </a:cubicBezTo>
                    <a:close/>
                  </a:path>
                </a:pathLst>
              </a:custGeom>
              <a:solidFill>
                <a:sysClr val="windowText" lastClr="000000"/>
              </a:solidFill>
              <a:ln>
                <a:noFill/>
              </a:ln>
              <a:effectLst/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marR="0" lvl="0" indent="0" algn="ctr" defTabSz="914400" rtl="0" eaLnBrk="1" fontAlgn="auto" latinLnBrk="1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ko-KR" altLang="en-US" sz="18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맑은 고딕" panose="020B0503020000020004" pitchFamily="34" charset="-127"/>
                  <a:cs typeface="+mn-cs"/>
                </a:endParaRPr>
              </a:p>
            </xdr:txBody>
          </xdr:sp>
          <xdr:sp macro="" textlink="">
            <xdr:nvSpPr>
              <xdr:cNvPr id="26" name="Rectangle 30">
                <a:extLst>
                  <a:ext uri="{FF2B5EF4-FFF2-40B4-BE49-F238E27FC236}">
                    <a16:creationId xmlns:a16="http://schemas.microsoft.com/office/drawing/2014/main" id="{00000000-0008-0000-0F00-000027000000}"/>
                  </a:ext>
                </a:extLst>
              </xdr:cNvPr>
              <xdr:cNvSpPr/>
            </xdr:nvSpPr>
            <xdr:spPr>
              <a:xfrm>
                <a:off x="6554695" y="3149433"/>
                <a:ext cx="670087" cy="783394"/>
              </a:xfrm>
              <a:custGeom>
                <a:avLst/>
                <a:gdLst/>
                <a:ahLst/>
                <a:cxnLst/>
                <a:rect l="l" t="t" r="r" b="b"/>
                <a:pathLst>
                  <a:path w="3240000" h="3230531">
                    <a:moveTo>
                      <a:pt x="720000" y="2697973"/>
                    </a:moveTo>
                    <a:cubicBezTo>
                      <a:pt x="680235" y="2697973"/>
                      <a:pt x="648000" y="2730208"/>
                      <a:pt x="648000" y="2769973"/>
                    </a:cubicBezTo>
                    <a:cubicBezTo>
                      <a:pt x="648000" y="2809738"/>
                      <a:pt x="680235" y="2841973"/>
                      <a:pt x="720000" y="2841973"/>
                    </a:cubicBezTo>
                    <a:lnTo>
                      <a:pt x="2520000" y="2841973"/>
                    </a:lnTo>
                    <a:cubicBezTo>
                      <a:pt x="2559765" y="2841973"/>
                      <a:pt x="2592000" y="2809738"/>
                      <a:pt x="2592000" y="2769973"/>
                    </a:cubicBezTo>
                    <a:cubicBezTo>
                      <a:pt x="2592000" y="2730208"/>
                      <a:pt x="2559765" y="2697973"/>
                      <a:pt x="2520000" y="2697973"/>
                    </a:cubicBezTo>
                    <a:close/>
                    <a:moveTo>
                      <a:pt x="720000" y="2366733"/>
                    </a:moveTo>
                    <a:cubicBezTo>
                      <a:pt x="680235" y="2366733"/>
                      <a:pt x="648000" y="2398968"/>
                      <a:pt x="648000" y="2438733"/>
                    </a:cubicBezTo>
                    <a:cubicBezTo>
                      <a:pt x="648000" y="2478498"/>
                      <a:pt x="680235" y="2510733"/>
                      <a:pt x="720000" y="2510733"/>
                    </a:cubicBezTo>
                    <a:lnTo>
                      <a:pt x="2520000" y="2510733"/>
                    </a:lnTo>
                    <a:cubicBezTo>
                      <a:pt x="2559765" y="2510733"/>
                      <a:pt x="2592000" y="2478498"/>
                      <a:pt x="2592000" y="2438733"/>
                    </a:cubicBezTo>
                    <a:cubicBezTo>
                      <a:pt x="2592000" y="2398968"/>
                      <a:pt x="2559765" y="2366733"/>
                      <a:pt x="2520000" y="2366733"/>
                    </a:cubicBezTo>
                    <a:close/>
                    <a:moveTo>
                      <a:pt x="720000" y="2035493"/>
                    </a:moveTo>
                    <a:cubicBezTo>
                      <a:pt x="680235" y="2035493"/>
                      <a:pt x="648000" y="2067728"/>
                      <a:pt x="648000" y="2107493"/>
                    </a:cubicBezTo>
                    <a:cubicBezTo>
                      <a:pt x="648000" y="2147258"/>
                      <a:pt x="680235" y="2179493"/>
                      <a:pt x="720000" y="2179493"/>
                    </a:cubicBezTo>
                    <a:lnTo>
                      <a:pt x="2520000" y="2179493"/>
                    </a:lnTo>
                    <a:cubicBezTo>
                      <a:pt x="2559765" y="2179493"/>
                      <a:pt x="2592000" y="2147258"/>
                      <a:pt x="2592000" y="2107493"/>
                    </a:cubicBezTo>
                    <a:cubicBezTo>
                      <a:pt x="2592000" y="2067728"/>
                      <a:pt x="2559765" y="2035493"/>
                      <a:pt x="2520000" y="2035493"/>
                    </a:cubicBezTo>
                    <a:close/>
                    <a:moveTo>
                      <a:pt x="720000" y="1704253"/>
                    </a:moveTo>
                    <a:cubicBezTo>
                      <a:pt x="680235" y="1704253"/>
                      <a:pt x="648000" y="1736488"/>
                      <a:pt x="648000" y="1776253"/>
                    </a:cubicBezTo>
                    <a:cubicBezTo>
                      <a:pt x="648000" y="1816018"/>
                      <a:pt x="680235" y="1848253"/>
                      <a:pt x="720000" y="1848253"/>
                    </a:cubicBezTo>
                    <a:lnTo>
                      <a:pt x="2520000" y="1848253"/>
                    </a:lnTo>
                    <a:cubicBezTo>
                      <a:pt x="2559765" y="1848253"/>
                      <a:pt x="2592000" y="1816018"/>
                      <a:pt x="2592000" y="1776253"/>
                    </a:cubicBezTo>
                    <a:cubicBezTo>
                      <a:pt x="2592000" y="1736488"/>
                      <a:pt x="2559765" y="1704253"/>
                      <a:pt x="2520000" y="1704253"/>
                    </a:cubicBezTo>
                    <a:close/>
                    <a:moveTo>
                      <a:pt x="720000" y="1373013"/>
                    </a:moveTo>
                    <a:cubicBezTo>
                      <a:pt x="680235" y="1373013"/>
                      <a:pt x="648000" y="1405248"/>
                      <a:pt x="648000" y="1445013"/>
                    </a:cubicBezTo>
                    <a:cubicBezTo>
                      <a:pt x="648000" y="1484778"/>
                      <a:pt x="680235" y="1517013"/>
                      <a:pt x="720000" y="1517013"/>
                    </a:cubicBezTo>
                    <a:lnTo>
                      <a:pt x="2520000" y="1517013"/>
                    </a:lnTo>
                    <a:cubicBezTo>
                      <a:pt x="2559765" y="1517013"/>
                      <a:pt x="2592000" y="1484778"/>
                      <a:pt x="2592000" y="1445013"/>
                    </a:cubicBezTo>
                    <a:cubicBezTo>
                      <a:pt x="2592000" y="1405248"/>
                      <a:pt x="2559765" y="1373013"/>
                      <a:pt x="2520000" y="1373013"/>
                    </a:cubicBezTo>
                    <a:close/>
                    <a:moveTo>
                      <a:pt x="720000" y="1041773"/>
                    </a:moveTo>
                    <a:cubicBezTo>
                      <a:pt x="680235" y="1041773"/>
                      <a:pt x="648000" y="1074008"/>
                      <a:pt x="648000" y="1113773"/>
                    </a:cubicBezTo>
                    <a:cubicBezTo>
                      <a:pt x="648000" y="1153538"/>
                      <a:pt x="680235" y="1185773"/>
                      <a:pt x="720000" y="1185773"/>
                    </a:cubicBezTo>
                    <a:lnTo>
                      <a:pt x="2520000" y="1185773"/>
                    </a:lnTo>
                    <a:cubicBezTo>
                      <a:pt x="2559765" y="1185773"/>
                      <a:pt x="2592000" y="1153538"/>
                      <a:pt x="2592000" y="1113773"/>
                    </a:cubicBezTo>
                    <a:cubicBezTo>
                      <a:pt x="2592000" y="1074008"/>
                      <a:pt x="2559765" y="1041773"/>
                      <a:pt x="2520000" y="1041773"/>
                    </a:cubicBezTo>
                    <a:close/>
                    <a:moveTo>
                      <a:pt x="0" y="305988"/>
                    </a:moveTo>
                    <a:lnTo>
                      <a:pt x="181957" y="305988"/>
                    </a:lnTo>
                    <a:lnTo>
                      <a:pt x="181957" y="470032"/>
                    </a:lnTo>
                    <a:cubicBezTo>
                      <a:pt x="181957" y="599267"/>
                      <a:pt x="286722" y="704032"/>
                      <a:pt x="415957" y="704032"/>
                    </a:cubicBezTo>
                    <a:cubicBezTo>
                      <a:pt x="545192" y="704032"/>
                      <a:pt x="649957" y="599267"/>
                      <a:pt x="649957" y="470032"/>
                    </a:cubicBezTo>
                    <a:lnTo>
                      <a:pt x="649957" y="305988"/>
                    </a:lnTo>
                    <a:lnTo>
                      <a:pt x="802357" y="305988"/>
                    </a:lnTo>
                    <a:lnTo>
                      <a:pt x="802357" y="470031"/>
                    </a:lnTo>
                    <a:cubicBezTo>
                      <a:pt x="802357" y="599266"/>
                      <a:pt x="907122" y="704031"/>
                      <a:pt x="1036357" y="704031"/>
                    </a:cubicBezTo>
                    <a:cubicBezTo>
                      <a:pt x="1165592" y="704031"/>
                      <a:pt x="1270357" y="599266"/>
                      <a:pt x="1270357" y="470031"/>
                    </a:cubicBezTo>
                    <a:lnTo>
                      <a:pt x="1270357" y="305988"/>
                    </a:lnTo>
                    <a:lnTo>
                      <a:pt x="1422757" y="305988"/>
                    </a:lnTo>
                    <a:lnTo>
                      <a:pt x="1422757" y="470030"/>
                    </a:lnTo>
                    <a:cubicBezTo>
                      <a:pt x="1422757" y="599265"/>
                      <a:pt x="1527522" y="704030"/>
                      <a:pt x="1656757" y="704030"/>
                    </a:cubicBezTo>
                    <a:cubicBezTo>
                      <a:pt x="1785992" y="704030"/>
                      <a:pt x="1890757" y="599265"/>
                      <a:pt x="1890757" y="470030"/>
                    </a:cubicBezTo>
                    <a:lnTo>
                      <a:pt x="1890757" y="305988"/>
                    </a:lnTo>
                    <a:lnTo>
                      <a:pt x="2043157" y="305988"/>
                    </a:lnTo>
                    <a:lnTo>
                      <a:pt x="2043157" y="470029"/>
                    </a:lnTo>
                    <a:cubicBezTo>
                      <a:pt x="2043157" y="599264"/>
                      <a:pt x="2147922" y="704029"/>
                      <a:pt x="2277157" y="704029"/>
                    </a:cubicBezTo>
                    <a:cubicBezTo>
                      <a:pt x="2406392" y="704029"/>
                      <a:pt x="2511157" y="599264"/>
                      <a:pt x="2511157" y="470029"/>
                    </a:cubicBezTo>
                    <a:lnTo>
                      <a:pt x="2511157" y="305988"/>
                    </a:lnTo>
                    <a:lnTo>
                      <a:pt x="2663557" y="305988"/>
                    </a:lnTo>
                    <a:lnTo>
                      <a:pt x="2663557" y="470028"/>
                    </a:lnTo>
                    <a:cubicBezTo>
                      <a:pt x="2663557" y="599263"/>
                      <a:pt x="2768322" y="704028"/>
                      <a:pt x="2897557" y="704028"/>
                    </a:cubicBezTo>
                    <a:cubicBezTo>
                      <a:pt x="3026792" y="704028"/>
                      <a:pt x="3131557" y="599263"/>
                      <a:pt x="3131557" y="470028"/>
                    </a:cubicBezTo>
                    <a:lnTo>
                      <a:pt x="3131557" y="305988"/>
                    </a:lnTo>
                    <a:lnTo>
                      <a:pt x="3240000" y="305988"/>
                    </a:lnTo>
                    <a:lnTo>
                      <a:pt x="3240000" y="3230531"/>
                    </a:lnTo>
                    <a:lnTo>
                      <a:pt x="0" y="3230531"/>
                    </a:lnTo>
                    <a:close/>
                    <a:moveTo>
                      <a:pt x="415957" y="4"/>
                    </a:moveTo>
                    <a:cubicBezTo>
                      <a:pt x="485545" y="4"/>
                      <a:pt x="541957" y="56416"/>
                      <a:pt x="541957" y="126004"/>
                    </a:cubicBezTo>
                    <a:lnTo>
                      <a:pt x="541957" y="485972"/>
                    </a:lnTo>
                    <a:cubicBezTo>
                      <a:pt x="541957" y="555560"/>
                      <a:pt x="485545" y="611972"/>
                      <a:pt x="415957" y="611972"/>
                    </a:cubicBezTo>
                    <a:cubicBezTo>
                      <a:pt x="346369" y="611972"/>
                      <a:pt x="289957" y="555560"/>
                      <a:pt x="289957" y="485972"/>
                    </a:cubicBezTo>
                    <a:lnTo>
                      <a:pt x="289957" y="126004"/>
                    </a:lnTo>
                    <a:cubicBezTo>
                      <a:pt x="289957" y="56416"/>
                      <a:pt x="346369" y="4"/>
                      <a:pt x="415957" y="4"/>
                    </a:cubicBezTo>
                    <a:close/>
                    <a:moveTo>
                      <a:pt x="1036357" y="3"/>
                    </a:moveTo>
                    <a:cubicBezTo>
                      <a:pt x="1105945" y="3"/>
                      <a:pt x="1162357" y="56415"/>
                      <a:pt x="1162357" y="126003"/>
                    </a:cubicBezTo>
                    <a:lnTo>
                      <a:pt x="1162357" y="485971"/>
                    </a:lnTo>
                    <a:cubicBezTo>
                      <a:pt x="1162357" y="555559"/>
                      <a:pt x="1105945" y="611971"/>
                      <a:pt x="1036357" y="611971"/>
                    </a:cubicBezTo>
                    <a:cubicBezTo>
                      <a:pt x="966769" y="611971"/>
                      <a:pt x="910357" y="555559"/>
                      <a:pt x="910357" y="485971"/>
                    </a:cubicBezTo>
                    <a:lnTo>
                      <a:pt x="910357" y="126003"/>
                    </a:lnTo>
                    <a:cubicBezTo>
                      <a:pt x="910357" y="56415"/>
                      <a:pt x="966769" y="3"/>
                      <a:pt x="1036357" y="3"/>
                    </a:cubicBezTo>
                    <a:close/>
                    <a:moveTo>
                      <a:pt x="1656757" y="2"/>
                    </a:moveTo>
                    <a:cubicBezTo>
                      <a:pt x="1726345" y="2"/>
                      <a:pt x="1782757" y="56414"/>
                      <a:pt x="1782757" y="126002"/>
                    </a:cubicBezTo>
                    <a:lnTo>
                      <a:pt x="1782757" y="485970"/>
                    </a:lnTo>
                    <a:cubicBezTo>
                      <a:pt x="1782757" y="555558"/>
                      <a:pt x="1726345" y="611970"/>
                      <a:pt x="1656757" y="611970"/>
                    </a:cubicBezTo>
                    <a:cubicBezTo>
                      <a:pt x="1587169" y="611970"/>
                      <a:pt x="1530757" y="555558"/>
                      <a:pt x="1530757" y="485970"/>
                    </a:cubicBezTo>
                    <a:lnTo>
                      <a:pt x="1530757" y="126002"/>
                    </a:lnTo>
                    <a:cubicBezTo>
                      <a:pt x="1530757" y="56414"/>
                      <a:pt x="1587169" y="2"/>
                      <a:pt x="1656757" y="2"/>
                    </a:cubicBezTo>
                    <a:close/>
                    <a:moveTo>
                      <a:pt x="2277157" y="1"/>
                    </a:moveTo>
                    <a:cubicBezTo>
                      <a:pt x="2346745" y="1"/>
                      <a:pt x="2403157" y="56413"/>
                      <a:pt x="2403157" y="126001"/>
                    </a:cubicBezTo>
                    <a:lnTo>
                      <a:pt x="2403157" y="485969"/>
                    </a:lnTo>
                    <a:cubicBezTo>
                      <a:pt x="2403157" y="555557"/>
                      <a:pt x="2346745" y="611969"/>
                      <a:pt x="2277157" y="611969"/>
                    </a:cubicBezTo>
                    <a:cubicBezTo>
                      <a:pt x="2207569" y="611969"/>
                      <a:pt x="2151157" y="555557"/>
                      <a:pt x="2151157" y="485969"/>
                    </a:cubicBezTo>
                    <a:lnTo>
                      <a:pt x="2151157" y="126001"/>
                    </a:lnTo>
                    <a:cubicBezTo>
                      <a:pt x="2151157" y="56413"/>
                      <a:pt x="2207569" y="1"/>
                      <a:pt x="2277157" y="1"/>
                    </a:cubicBezTo>
                    <a:close/>
                    <a:moveTo>
                      <a:pt x="2897557" y="0"/>
                    </a:moveTo>
                    <a:cubicBezTo>
                      <a:pt x="2967145" y="0"/>
                      <a:pt x="3023557" y="56412"/>
                      <a:pt x="3023557" y="126000"/>
                    </a:cubicBezTo>
                    <a:lnTo>
                      <a:pt x="3023557" y="485968"/>
                    </a:lnTo>
                    <a:cubicBezTo>
                      <a:pt x="3023557" y="555556"/>
                      <a:pt x="2967145" y="611968"/>
                      <a:pt x="2897557" y="611968"/>
                    </a:cubicBezTo>
                    <a:cubicBezTo>
                      <a:pt x="2827969" y="611968"/>
                      <a:pt x="2771557" y="555556"/>
                      <a:pt x="2771557" y="485968"/>
                    </a:cubicBezTo>
                    <a:lnTo>
                      <a:pt x="2771557" y="126000"/>
                    </a:lnTo>
                    <a:cubicBezTo>
                      <a:pt x="2771557" y="56412"/>
                      <a:pt x="2827969" y="0"/>
                      <a:pt x="2897557" y="0"/>
                    </a:cubicBezTo>
                    <a:close/>
                  </a:path>
                </a:pathLst>
              </a:custGeom>
              <a:solidFill>
                <a:sysClr val="windowText" lastClr="000000"/>
              </a:solidFill>
              <a:ln w="25400" cap="flat" cmpd="sng" algn="ctr">
                <a:solidFill>
                  <a:sysClr val="windowText" lastClr="000000">
                    <a:shade val="50000"/>
                  </a:sysClr>
                </a:solidFill>
                <a:prstDash val="solid"/>
              </a:ln>
              <a:effectLst/>
            </xdr:spPr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marR="0" lvl="0" indent="0" algn="ctr" defTabSz="914400" rtl="0" eaLnBrk="1" fontAlgn="auto" latinLnBrk="1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ko-KR" altLang="en-US" sz="18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맑은 고딕" panose="020B0503020000020004" pitchFamily="34" charset="-127"/>
                  <a:cs typeface="+mn-cs"/>
                </a:endParaRPr>
              </a:p>
            </xdr:txBody>
          </xdr:sp>
          <xdr:sp macro="" textlink="">
            <xdr:nvSpPr>
              <xdr:cNvPr id="27" name="Flèche : chevron 39">
                <a:extLst>
                  <a:ext uri="{FF2B5EF4-FFF2-40B4-BE49-F238E27FC236}">
                    <a16:creationId xmlns:a16="http://schemas.microsoft.com/office/drawing/2014/main" id="{00000000-0008-0000-0F00-000028000000}"/>
                  </a:ext>
                </a:extLst>
              </xdr:cNvPr>
              <xdr:cNvSpPr/>
            </xdr:nvSpPr>
            <xdr:spPr>
              <a:xfrm>
                <a:off x="8290543" y="4246674"/>
                <a:ext cx="763188" cy="978175"/>
              </a:xfrm>
              <a:prstGeom prst="chevron">
                <a:avLst/>
              </a:prstGeom>
              <a:solidFill>
                <a:sysClr val="windowText" lastClr="000000"/>
              </a:solidFill>
              <a:ln w="25400" cap="flat" cmpd="sng" algn="ctr">
                <a:solidFill>
                  <a:sysClr val="windowText" lastClr="000000">
                    <a:shade val="50000"/>
                  </a:sys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8" name="Triangle isocèle 27">
                <a:extLst>
                  <a:ext uri="{FF2B5EF4-FFF2-40B4-BE49-F238E27FC236}">
                    <a16:creationId xmlns:a16="http://schemas.microsoft.com/office/drawing/2014/main" id="{00000000-0008-0000-0F00-000029000000}"/>
                  </a:ext>
                </a:extLst>
              </xdr:cNvPr>
              <xdr:cNvSpPr/>
            </xdr:nvSpPr>
            <xdr:spPr>
              <a:xfrm rot="5400000">
                <a:off x="14831708" y="5455196"/>
                <a:ext cx="524766" cy="419099"/>
              </a:xfrm>
              <a:prstGeom prst="triangle">
                <a:avLst>
                  <a:gd name="adj" fmla="val 53379"/>
                </a:avLst>
              </a:prstGeom>
              <a:solidFill>
                <a:srgbClr val="C0504D">
                  <a:lumMod val="60000"/>
                  <a:lumOff val="40000"/>
                </a:srgbClr>
              </a:solidFill>
              <a:ln w="25400" cap="flat" cmpd="sng" algn="ctr">
                <a:solidFill>
                  <a:srgbClr val="4F81BD">
                    <a:shade val="50000"/>
                  </a:srgbClr>
                </a:solidFill>
                <a:prstDash val="solid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FR" sz="24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12" name="ZoneTexte 11">
              <a:extLst>
                <a:ext uri="{FF2B5EF4-FFF2-40B4-BE49-F238E27FC236}">
                  <a16:creationId xmlns:a16="http://schemas.microsoft.com/office/drawing/2014/main" id="{00000000-0008-0000-0F00-000011000000}"/>
                </a:ext>
              </a:extLst>
            </xdr:cNvPr>
            <xdr:cNvSpPr txBox="1"/>
          </xdr:nvSpPr>
          <xdr:spPr>
            <a:xfrm>
              <a:off x="21656431" y="7978531"/>
              <a:ext cx="2919174" cy="650291"/>
            </a:xfrm>
            <a:prstGeom prst="rect">
              <a:avLst/>
            </a:prstGeom>
            <a:solidFill>
              <a:srgbClr val="4F81BD"/>
            </a:solidFill>
            <a:ln w="25400" cap="flat" cmpd="sng" algn="ctr">
              <a:solidFill>
                <a:srgbClr val="4F81BD">
                  <a:shade val="50000"/>
                </a:srgbClr>
              </a:solidFill>
              <a:prstDash val="solid"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Controle de gestion</a:t>
              </a:r>
              <a:endParaRPr kumimoji="0" lang="fr-FR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  <xdr:sp macro="" textlink="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F00-000012000000}"/>
                </a:ext>
              </a:extLst>
            </xdr:cNvPr>
            <xdr:cNvSpPr txBox="1"/>
          </xdr:nvSpPr>
          <xdr:spPr>
            <a:xfrm>
              <a:off x="19993741" y="9037855"/>
              <a:ext cx="4167415" cy="650291"/>
            </a:xfrm>
            <a:prstGeom prst="rect">
              <a:avLst/>
            </a:prstGeom>
            <a:solidFill>
              <a:srgbClr val="4F81BD"/>
            </a:solidFill>
            <a:ln w="25400" cap="flat" cmpd="sng" algn="ctr">
              <a:solidFill>
                <a:srgbClr val="4F81BD">
                  <a:shade val="50000"/>
                </a:srgbClr>
              </a:solidFill>
              <a:prstDash val="solid"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2400" b="1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Finnance</a:t>
              </a:r>
            </a:p>
          </xdr:txBody>
        </xdr:sp>
      </xdr:grpSp>
      <xdr:sp macro="" textlink="">
        <xdr:nvSpPr>
          <xdr:cNvPr id="4" name="Triangle isocèle 3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 rot="5400000">
            <a:off x="18568606" y="5939962"/>
            <a:ext cx="425791" cy="562026"/>
          </a:xfrm>
          <a:prstGeom prst="triangle">
            <a:avLst>
              <a:gd name="adj" fmla="val 53379"/>
            </a:avLst>
          </a:prstGeom>
          <a:solidFill>
            <a:srgbClr val="F79646">
              <a:lumMod val="60000"/>
              <a:lumOff val="40000"/>
            </a:srgbClr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" name="Triangle isocèle 4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 rot="5400000">
            <a:off x="21645914" y="5866693"/>
            <a:ext cx="425791" cy="562026"/>
          </a:xfrm>
          <a:prstGeom prst="triangle">
            <a:avLst>
              <a:gd name="adj" fmla="val 53379"/>
            </a:avLst>
          </a:prstGeom>
          <a:solidFill>
            <a:srgbClr val="8064A2">
              <a:lumMod val="60000"/>
              <a:lumOff val="40000"/>
            </a:srgbClr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2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20</xdr:col>
      <xdr:colOff>190500</xdr:colOff>
      <xdr:row>4</xdr:row>
      <xdr:rowOff>0</xdr:rowOff>
    </xdr:from>
    <xdr:to>
      <xdr:col>26</xdr:col>
      <xdr:colOff>216360</xdr:colOff>
      <xdr:row>9</xdr:row>
      <xdr:rowOff>21501</xdr:rowOff>
    </xdr:to>
    <xdr:sp macro="" textlink="">
      <xdr:nvSpPr>
        <xdr:cNvPr id="29" name="Rectangle : coins arrondi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15430500" y="762000"/>
          <a:ext cx="4597860" cy="974001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5400" b="1" i="0" u="none" strike="noStrike" kern="0" cap="none" spc="0" normalizeH="0" baseline="0" noProof="0">
              <a:ln w="22225">
                <a:solidFill>
                  <a:srgbClr val="1F497D">
                    <a:lumMod val="60000"/>
                    <a:lumOff val="40000"/>
                  </a:srgbClr>
                </a:solidFill>
                <a:prstDash val="solid"/>
              </a:ln>
              <a:solidFill>
                <a:srgbClr val="1F497D">
                  <a:lumMod val="60000"/>
                  <a:lumOff val="40000"/>
                </a:srgbClr>
              </a:solidFill>
              <a:effectLst/>
              <a:uLnTx/>
              <a:uFillTx/>
            </a:rPr>
            <a:t>CARTOGRAPHIE</a:t>
          </a:r>
        </a:p>
      </xdr:txBody>
    </xdr:sp>
    <xdr:clientData/>
  </xdr:twoCellAnchor>
  <xdr:twoCellAnchor>
    <xdr:from>
      <xdr:col>19</xdr:col>
      <xdr:colOff>642937</xdr:colOff>
      <xdr:row>1</xdr:row>
      <xdr:rowOff>142875</xdr:rowOff>
    </xdr:from>
    <xdr:to>
      <xdr:col>20</xdr:col>
      <xdr:colOff>441709</xdr:colOff>
      <xdr:row>6</xdr:row>
      <xdr:rowOff>166771</xdr:rowOff>
    </xdr:to>
    <xdr:sp macro="" textlink="">
      <xdr:nvSpPr>
        <xdr:cNvPr id="31" name="Round Same Side Corner Rectangle 19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 rot="1764277">
          <a:off x="15120937" y="333375"/>
          <a:ext cx="560772" cy="976396"/>
        </a:xfrm>
        <a:custGeom>
          <a:avLst/>
          <a:gdLst/>
          <a:ahLst/>
          <a:cxnLst/>
          <a:rect l="l" t="t" r="r" b="b"/>
          <a:pathLst>
            <a:path w="2600931" h="3213524">
              <a:moveTo>
                <a:pt x="1304260" y="0"/>
              </a:moveTo>
              <a:cubicBezTo>
                <a:pt x="1403671" y="0"/>
                <a:pt x="1484260" y="80589"/>
                <a:pt x="1484260" y="180000"/>
              </a:cubicBezTo>
              <a:lnTo>
                <a:pt x="1484260" y="412061"/>
              </a:lnTo>
              <a:lnTo>
                <a:pt x="2330931" y="412061"/>
              </a:lnTo>
              <a:lnTo>
                <a:pt x="2600931" y="682061"/>
              </a:lnTo>
              <a:lnTo>
                <a:pt x="2330931" y="952061"/>
              </a:lnTo>
              <a:lnTo>
                <a:pt x="1484260" y="952061"/>
              </a:lnTo>
              <a:lnTo>
                <a:pt x="1484260" y="1110244"/>
              </a:lnTo>
              <a:lnTo>
                <a:pt x="2375646" y="1110244"/>
              </a:lnTo>
              <a:lnTo>
                <a:pt x="2375646" y="1650244"/>
              </a:lnTo>
              <a:lnTo>
                <a:pt x="1484260" y="1650244"/>
              </a:lnTo>
              <a:lnTo>
                <a:pt x="1484260" y="3213524"/>
              </a:lnTo>
              <a:lnTo>
                <a:pt x="1124260" y="3213524"/>
              </a:lnTo>
              <a:lnTo>
                <a:pt x="1124260" y="1650244"/>
              </a:lnTo>
              <a:lnTo>
                <a:pt x="270000" y="1650244"/>
              </a:lnTo>
              <a:lnTo>
                <a:pt x="0" y="1380244"/>
              </a:lnTo>
              <a:lnTo>
                <a:pt x="270000" y="1110244"/>
              </a:lnTo>
              <a:lnTo>
                <a:pt x="1124260" y="1110244"/>
              </a:lnTo>
              <a:lnTo>
                <a:pt x="1124260" y="952061"/>
              </a:lnTo>
              <a:lnTo>
                <a:pt x="224931" y="952061"/>
              </a:lnTo>
              <a:lnTo>
                <a:pt x="224931" y="412061"/>
              </a:lnTo>
              <a:lnTo>
                <a:pt x="1124260" y="412061"/>
              </a:lnTo>
              <a:lnTo>
                <a:pt x="1124260" y="180000"/>
              </a:lnTo>
              <a:cubicBezTo>
                <a:pt x="1124260" y="80589"/>
                <a:pt x="1204849" y="0"/>
                <a:pt x="1304260" y="0"/>
              </a:cubicBezTo>
              <a:close/>
            </a:path>
          </a:pathLst>
        </a:custGeom>
        <a:solidFill>
          <a:sysClr val="windowText" lastClr="000000">
            <a:alpha val="50000"/>
          </a:sysClr>
        </a:solidFill>
        <a:ln>
          <a:noFill/>
        </a:ln>
        <a:effectLst/>
      </xdr:spPr>
      <xdr:txBody>
        <a:bodyPr wrap="square" rtlCol="0" anchor="ctr"/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1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800" b="0" i="0" u="none" strike="noStrike" kern="120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맑은 고딕" panose="020B0503020000020004" pitchFamily="34" charset="-127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190500</xdr:colOff>
          <xdr:row>6</xdr:row>
          <xdr:rowOff>123825</xdr:rowOff>
        </xdr:from>
        <xdr:to>
          <xdr:col>37</xdr:col>
          <xdr:colOff>314325</xdr:colOff>
          <xdr:row>11</xdr:row>
          <xdr:rowOff>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9</xdr:row>
      <xdr:rowOff>190159</xdr:rowOff>
    </xdr:from>
    <xdr:to>
      <xdr:col>7</xdr:col>
      <xdr:colOff>133350</xdr:colOff>
      <xdr:row>51</xdr:row>
      <xdr:rowOff>95250</xdr:rowOff>
    </xdr:to>
    <xdr:graphicFrame macro="">
      <xdr:nvGraphicFramePr>
        <xdr:cNvPr id="3" name="Diagramm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9</xdr:col>
      <xdr:colOff>581705</xdr:colOff>
      <xdr:row>9</xdr:row>
      <xdr:rowOff>48646</xdr:rowOff>
    </xdr:from>
    <xdr:to>
      <xdr:col>23</xdr:col>
      <xdr:colOff>394606</xdr:colOff>
      <xdr:row>38</xdr:row>
      <xdr:rowOff>152400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7439705" y="1763146"/>
          <a:ext cx="10480901" cy="5628254"/>
          <a:chOff x="10103431" y="2859969"/>
          <a:chExt cx="9376285" cy="3799029"/>
        </a:xfrm>
      </xdr:grpSpPr>
      <xdr:sp macro="" textlink="">
        <xdr:nvSpPr>
          <xdr:cNvPr id="5" name="Rectangle : avec coins arrondis en diagonale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10103431" y="3206185"/>
            <a:ext cx="9376285" cy="3452813"/>
          </a:xfrm>
          <a:prstGeom prst="round2DiagRect">
            <a:avLst/>
          </a:prstGeom>
          <a:ln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fontAlgn="base"/>
            <a:r>
              <a:rPr lang="fr-FR" sz="2000" b="0" i="0" baseline="0">
                <a:solidFill>
                  <a:schemeClr val="dk1"/>
                </a:solidFill>
                <a:effectLst/>
                <a:latin typeface="Britannic Bold" panose="020B0903060703020204" pitchFamily="34" charset="0"/>
                <a:ea typeface="+mn-ea"/>
                <a:cs typeface="Arial" panose="020B0604020202020204" pitchFamily="34" charset="0"/>
              </a:rPr>
              <a:t>  </a:t>
            </a:r>
            <a:r>
              <a:rPr lang="fr-FR" sz="2000" b="0" i="0">
                <a:solidFill>
                  <a:schemeClr val="dk1"/>
                </a:solidFill>
                <a:effectLst/>
                <a:latin typeface="Britannic Bold" panose="020B0903060703020204" pitchFamily="34" charset="0"/>
                <a:ea typeface="+mn-ea"/>
                <a:cs typeface="Arial" panose="020B0604020202020204" pitchFamily="34" charset="0"/>
              </a:rPr>
              <a:t>La société GEMAPLAST a pour vocation la production des conduites en polyvinyle de chlorure (PVC-U) et polyéthylène haute densité (PEHD). Ces produits sont destinés à la réalisation des infrastructures en particulier:</a:t>
            </a:r>
          </a:p>
          <a:p>
            <a:pPr fontAlgn="base"/>
            <a:endParaRPr lang="fr-FR" sz="2000" b="0" i="0">
              <a:solidFill>
                <a:schemeClr val="dk1"/>
              </a:solidFill>
              <a:effectLst/>
              <a:latin typeface="Britannic Bold" panose="020B0903060703020204" pitchFamily="34" charset="0"/>
              <a:ea typeface="+mn-ea"/>
              <a:cs typeface="Arial" panose="020B0604020202020204" pitchFamily="34" charset="0"/>
            </a:endParaRPr>
          </a:p>
          <a:p>
            <a:pPr fontAlgn="base"/>
            <a:r>
              <a:rPr lang="fr-FR" sz="2000" b="0" i="0">
                <a:solidFill>
                  <a:schemeClr val="dk1"/>
                </a:solidFill>
                <a:effectLst/>
                <a:latin typeface="Britannic Bold" panose="020B0903060703020204" pitchFamily="34" charset="0"/>
                <a:ea typeface="+mn-ea"/>
                <a:cs typeface="Arial" panose="020B0604020202020204" pitchFamily="34" charset="0"/>
              </a:rPr>
              <a:t>  *Des réseaux d'assainissement</a:t>
            </a:r>
          </a:p>
          <a:p>
            <a:pPr fontAlgn="base"/>
            <a:r>
              <a:rPr lang="fr-FR" sz="2000" b="0" i="0">
                <a:solidFill>
                  <a:schemeClr val="dk1"/>
                </a:solidFill>
                <a:effectLst/>
                <a:latin typeface="Britannic Bold" panose="020B0903060703020204" pitchFamily="34" charset="0"/>
                <a:ea typeface="+mn-ea"/>
                <a:cs typeface="Arial" panose="020B0604020202020204" pitchFamily="34" charset="0"/>
              </a:rPr>
              <a:t>  *D'adduction en eau sous pression</a:t>
            </a:r>
          </a:p>
          <a:p>
            <a:pPr fontAlgn="base"/>
            <a:r>
              <a:rPr lang="fr-FR" sz="2000" b="0" i="0">
                <a:solidFill>
                  <a:schemeClr val="dk1"/>
                </a:solidFill>
                <a:effectLst/>
                <a:latin typeface="Britannic Bold" panose="020B0903060703020204" pitchFamily="34" charset="0"/>
                <a:ea typeface="+mn-ea"/>
                <a:cs typeface="Arial" panose="020B0604020202020204" pitchFamily="34" charset="0"/>
              </a:rPr>
              <a:t>  *Electrification et d'irrigation</a:t>
            </a:r>
          </a:p>
          <a:p>
            <a:pPr fontAlgn="base"/>
            <a:endParaRPr lang="fr-FR" sz="2000" b="0" i="0">
              <a:solidFill>
                <a:schemeClr val="dk1"/>
              </a:solidFill>
              <a:effectLst/>
              <a:latin typeface="Britannic Bold" panose="020B0903060703020204" pitchFamily="34" charset="0"/>
              <a:ea typeface="+mn-ea"/>
              <a:cs typeface="Arial" panose="020B0604020202020204" pitchFamily="34" charset="0"/>
            </a:endParaRPr>
          </a:p>
          <a:p>
            <a:pPr marL="0" indent="0" fontAlgn="base"/>
            <a:r>
              <a:rPr lang="fr-FR" sz="2000" b="0" i="0">
                <a:solidFill>
                  <a:schemeClr val="dk1"/>
                </a:solidFill>
                <a:effectLst/>
                <a:latin typeface="Britannic Bold" panose="020B0903060703020204" pitchFamily="34" charset="0"/>
                <a:ea typeface="+mn-ea"/>
                <a:cs typeface="Arial" panose="020B0604020202020204" pitchFamily="34" charset="0"/>
              </a:rPr>
              <a:t>Elle a su répondre aux exigences techniques requises dans des domaines d’activités aussi divers que l'agriculture, l'agroalimentaire, l'automobile, l'incendie, l'équipement des piscines etc.</a:t>
            </a:r>
          </a:p>
          <a:p>
            <a:pPr algn="l"/>
            <a:endParaRPr lang="fr-FR" sz="2400" b="0" i="0">
              <a:solidFill>
                <a:schemeClr val="dk1"/>
              </a:solidFill>
              <a:effectLst/>
              <a:latin typeface="Britannic Bold" panose="020B0903060703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">
        <xdr:nvSpPr>
          <xdr:cNvPr id="6" name="ZoneTexte 5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 txBox="1"/>
        </xdr:nvSpPr>
        <xdr:spPr>
          <a:xfrm>
            <a:off x="10854987" y="2859969"/>
            <a:ext cx="2659063" cy="6151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 b="1">
                <a:solidFill>
                  <a:schemeClr val="accent1">
                    <a:lumMod val="75000"/>
                  </a:schemeClr>
                </a:solidFill>
                <a:effectLst>
                  <a:reflection blurRad="6350" stA="60000" endA="900" endPos="60000" dist="29997" dir="5400000" sy="-100000" algn="bl" rotWithShape="0"/>
                </a:effectLst>
              </a:rPr>
              <a:t>Portrait de l'entreprise</a:t>
            </a:r>
          </a:p>
        </xdr:txBody>
      </xdr:sp>
    </xdr:grpSp>
    <xdr:clientData/>
  </xdr:twoCellAnchor>
  <xdr:twoCellAnchor>
    <xdr:from>
      <xdr:col>4</xdr:col>
      <xdr:colOff>636814</xdr:colOff>
      <xdr:row>1</xdr:row>
      <xdr:rowOff>133350</xdr:rowOff>
    </xdr:from>
    <xdr:to>
      <xdr:col>10</xdr:col>
      <xdr:colOff>37845</xdr:colOff>
      <xdr:row>7</xdr:row>
      <xdr:rowOff>188222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3684814" y="323850"/>
          <a:ext cx="3973031" cy="1197872"/>
        </a:xfrm>
        <a:prstGeom prst="roundRect">
          <a:avLst/>
        </a:prstGeom>
        <a:solidFill>
          <a:srgbClr val="4F81BD"/>
        </a:solidFill>
        <a:ln w="38100" cap="flat" cmpd="sng" algn="ctr">
          <a:solidFill>
            <a:sysClr val="window" lastClr="FFFFFF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lgerian" pitchFamily="82" charset="0"/>
              <a:ea typeface="+mn-ea"/>
              <a:cs typeface="+mn-cs"/>
            </a:rPr>
            <a:t>Présentation de L'ENTREPRISE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5</xdr:row>
          <xdr:rowOff>114300</xdr:rowOff>
        </xdr:from>
        <xdr:to>
          <xdr:col>28</xdr:col>
          <xdr:colOff>171450</xdr:colOff>
          <xdr:row>8</xdr:row>
          <xdr:rowOff>76200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4</xdr:row>
      <xdr:rowOff>47625</xdr:rowOff>
    </xdr:from>
    <xdr:to>
      <xdr:col>24</xdr:col>
      <xdr:colOff>589865</xdr:colOff>
      <xdr:row>33</xdr:row>
      <xdr:rowOff>119944</xdr:rowOff>
    </xdr:to>
    <xdr:grpSp>
      <xdr:nvGrpSpPr>
        <xdr:cNvPr id="43" name="Groupe 42"/>
        <xdr:cNvGrpSpPr/>
      </xdr:nvGrpSpPr>
      <xdr:grpSpPr>
        <a:xfrm>
          <a:off x="1571625" y="809625"/>
          <a:ext cx="17306240" cy="5596819"/>
          <a:chOff x="350493" y="161926"/>
          <a:chExt cx="17306240" cy="5596819"/>
        </a:xfrm>
      </xdr:grpSpPr>
      <xdr:cxnSp macro="">
        <xdr:nvCxnSpPr>
          <xdr:cNvPr id="44" name="Connecteur droit 43"/>
          <xdr:cNvCxnSpPr/>
        </xdr:nvCxnSpPr>
        <xdr:spPr>
          <a:xfrm>
            <a:off x="8991298" y="1369935"/>
            <a:ext cx="1" cy="1861952"/>
          </a:xfrm>
          <a:prstGeom prst="lin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Rectangle 44"/>
          <xdr:cNvSpPr/>
        </xdr:nvSpPr>
        <xdr:spPr>
          <a:xfrm>
            <a:off x="8180785" y="1195923"/>
            <a:ext cx="2849182" cy="273541"/>
          </a:xfrm>
          <a:prstGeom prst="rect">
            <a:avLst/>
          </a:prstGeom>
          <a:solidFill>
            <a:schemeClr val="bg1"/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ysClr val="windowText" lastClr="000000"/>
                </a:solidFill>
              </a:rPr>
              <a:t>Directeur</a:t>
            </a:r>
            <a:r>
              <a:rPr lang="fr-FR" sz="1100" b="1" baseline="0">
                <a:solidFill>
                  <a:sysClr val="windowText" lastClr="000000"/>
                </a:solidFill>
              </a:rPr>
              <a:t> Administratif &amp; Financier</a:t>
            </a:r>
            <a:endParaRPr lang="fr-FR" sz="11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6" name="Rectangle 45"/>
          <xdr:cNvSpPr/>
        </xdr:nvSpPr>
        <xdr:spPr>
          <a:xfrm>
            <a:off x="14509731" y="1208346"/>
            <a:ext cx="3147002" cy="230611"/>
          </a:xfrm>
          <a:prstGeom prst="rect">
            <a:avLst/>
          </a:prstGeom>
          <a:noFill/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ysClr val="windowText" lastClr="000000"/>
                </a:solidFill>
              </a:rPr>
              <a:t>Responsable Organisation</a:t>
            </a:r>
            <a:r>
              <a:rPr lang="fr-FR" sz="1100" b="1" baseline="0">
                <a:solidFill>
                  <a:sysClr val="windowText" lastClr="000000"/>
                </a:solidFill>
              </a:rPr>
              <a:t> &amp; Controle de gestion</a:t>
            </a:r>
            <a:endParaRPr lang="fr-FR" sz="1100" b="1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Connecteur droit 46"/>
          <xdr:cNvCxnSpPr/>
        </xdr:nvCxnSpPr>
        <xdr:spPr>
          <a:xfrm>
            <a:off x="5463217" y="1383740"/>
            <a:ext cx="1" cy="1861952"/>
          </a:xfrm>
          <a:prstGeom prst="lin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" name="Rectangle 47"/>
          <xdr:cNvSpPr/>
        </xdr:nvSpPr>
        <xdr:spPr>
          <a:xfrm>
            <a:off x="5195490" y="1856007"/>
            <a:ext cx="2307854" cy="237591"/>
          </a:xfrm>
          <a:prstGeom prst="rect">
            <a:avLst/>
          </a:prstGeom>
          <a:solidFill>
            <a:schemeClr val="bg1"/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ysClr val="windowText" lastClr="000000"/>
                </a:solidFill>
              </a:rPr>
              <a:t>Chargé ADV</a:t>
            </a:r>
          </a:p>
        </xdr:txBody>
      </xdr:sp>
      <xdr:sp macro="" textlink="">
        <xdr:nvSpPr>
          <xdr:cNvPr id="49" name="Rectangle 48"/>
          <xdr:cNvSpPr/>
        </xdr:nvSpPr>
        <xdr:spPr>
          <a:xfrm>
            <a:off x="4503419" y="1195923"/>
            <a:ext cx="2849183" cy="273541"/>
          </a:xfrm>
          <a:prstGeom prst="rect">
            <a:avLst/>
          </a:prstGeom>
          <a:solidFill>
            <a:schemeClr val="bg1"/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ysClr val="windowText" lastClr="000000"/>
                </a:solidFill>
              </a:rPr>
              <a:t>Directeur</a:t>
            </a:r>
            <a:r>
              <a:rPr lang="fr-FR" sz="1100" b="1" baseline="0">
                <a:solidFill>
                  <a:sysClr val="windowText" lastClr="000000"/>
                </a:solidFill>
              </a:rPr>
              <a:t> Commercial</a:t>
            </a:r>
            <a:endParaRPr lang="fr-FR" sz="11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0" name="Rectangle 49"/>
          <xdr:cNvSpPr/>
        </xdr:nvSpPr>
        <xdr:spPr>
          <a:xfrm>
            <a:off x="5181687" y="2405651"/>
            <a:ext cx="2307854" cy="237591"/>
          </a:xfrm>
          <a:prstGeom prst="rect">
            <a:avLst/>
          </a:prstGeom>
          <a:solidFill>
            <a:schemeClr val="bg1"/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ysClr val="windowText" lastClr="000000"/>
                </a:solidFill>
              </a:rPr>
              <a:t>Techniciens commerciaux</a:t>
            </a:r>
          </a:p>
        </xdr:txBody>
      </xdr:sp>
      <xdr:sp macro="" textlink="">
        <xdr:nvSpPr>
          <xdr:cNvPr id="51" name="Rectangle 50"/>
          <xdr:cNvSpPr/>
        </xdr:nvSpPr>
        <xdr:spPr>
          <a:xfrm>
            <a:off x="5167881" y="2982906"/>
            <a:ext cx="2307854" cy="237590"/>
          </a:xfrm>
          <a:prstGeom prst="rect">
            <a:avLst/>
          </a:prstGeom>
          <a:solidFill>
            <a:schemeClr val="bg1"/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ysClr val="windowText" lastClr="000000"/>
                </a:solidFill>
              </a:rPr>
              <a:t>Responsable park</a:t>
            </a:r>
          </a:p>
        </xdr:txBody>
      </xdr:sp>
      <xdr:sp macro="" textlink="">
        <xdr:nvSpPr>
          <xdr:cNvPr id="52" name="Rectangle 51"/>
          <xdr:cNvSpPr/>
        </xdr:nvSpPr>
        <xdr:spPr>
          <a:xfrm>
            <a:off x="8729015" y="1842202"/>
            <a:ext cx="2307853" cy="237591"/>
          </a:xfrm>
          <a:prstGeom prst="rect">
            <a:avLst/>
          </a:prstGeom>
          <a:solidFill>
            <a:schemeClr val="bg1"/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ysClr val="windowText" lastClr="000000"/>
                </a:solidFill>
              </a:rPr>
              <a:t>Chargé RH</a:t>
            </a:r>
          </a:p>
        </xdr:txBody>
      </xdr:sp>
      <xdr:sp macro="" textlink="">
        <xdr:nvSpPr>
          <xdr:cNvPr id="53" name="Rectangle 52"/>
          <xdr:cNvSpPr/>
        </xdr:nvSpPr>
        <xdr:spPr>
          <a:xfrm>
            <a:off x="8715212" y="2391846"/>
            <a:ext cx="2307853" cy="237591"/>
          </a:xfrm>
          <a:prstGeom prst="rect">
            <a:avLst/>
          </a:prstGeom>
          <a:solidFill>
            <a:schemeClr val="bg1"/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ysClr val="windowText" lastClr="000000"/>
                </a:solidFill>
              </a:rPr>
              <a:t>Aide comptable</a:t>
            </a:r>
          </a:p>
        </xdr:txBody>
      </xdr:sp>
      <xdr:sp macro="" textlink="">
        <xdr:nvSpPr>
          <xdr:cNvPr id="54" name="Rectangle 53"/>
          <xdr:cNvSpPr/>
        </xdr:nvSpPr>
        <xdr:spPr>
          <a:xfrm>
            <a:off x="8701406" y="2969101"/>
            <a:ext cx="2307853" cy="237590"/>
          </a:xfrm>
          <a:prstGeom prst="rect">
            <a:avLst/>
          </a:prstGeom>
          <a:solidFill>
            <a:schemeClr val="bg1"/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ysClr val="windowText" lastClr="000000"/>
                </a:solidFill>
              </a:rPr>
              <a:t>Caissier</a:t>
            </a:r>
          </a:p>
        </xdr:txBody>
      </xdr:sp>
      <xdr:cxnSp macro="">
        <xdr:nvCxnSpPr>
          <xdr:cNvPr id="55" name="Connecteur droit 54"/>
          <xdr:cNvCxnSpPr/>
        </xdr:nvCxnSpPr>
        <xdr:spPr>
          <a:xfrm>
            <a:off x="12290148" y="1306358"/>
            <a:ext cx="1" cy="698224"/>
          </a:xfrm>
          <a:prstGeom prst="line">
            <a:avLst/>
          </a:prstGeom>
          <a:ln>
            <a:solidFill>
              <a:schemeClr val="tx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Rectangle 55"/>
          <xdr:cNvSpPr/>
        </xdr:nvSpPr>
        <xdr:spPr>
          <a:xfrm>
            <a:off x="12022420" y="1773181"/>
            <a:ext cx="2307855" cy="243035"/>
          </a:xfrm>
          <a:prstGeom prst="rect">
            <a:avLst/>
          </a:prstGeom>
          <a:solidFill>
            <a:schemeClr val="bg1"/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ysClr val="windowText" lastClr="000000"/>
                </a:solidFill>
              </a:rPr>
              <a:t>Magasinier</a:t>
            </a:r>
          </a:p>
        </xdr:txBody>
      </xdr:sp>
      <xdr:sp macro="" textlink="">
        <xdr:nvSpPr>
          <xdr:cNvPr id="57" name="Rectangle 56"/>
          <xdr:cNvSpPr/>
        </xdr:nvSpPr>
        <xdr:spPr>
          <a:xfrm>
            <a:off x="11312956" y="1195923"/>
            <a:ext cx="2851944" cy="273541"/>
          </a:xfrm>
          <a:prstGeom prst="rect">
            <a:avLst/>
          </a:prstGeom>
          <a:solidFill>
            <a:schemeClr val="bg1"/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ysClr val="windowText" lastClr="000000"/>
                </a:solidFill>
              </a:rPr>
              <a:t>Responsable Achat</a:t>
            </a:r>
          </a:p>
        </xdr:txBody>
      </xdr:sp>
      <xdr:grpSp>
        <xdr:nvGrpSpPr>
          <xdr:cNvPr id="58" name="Groupe 57"/>
          <xdr:cNvGrpSpPr/>
        </xdr:nvGrpSpPr>
        <xdr:grpSpPr>
          <a:xfrm>
            <a:off x="350493" y="161926"/>
            <a:ext cx="15815527" cy="5596819"/>
            <a:chOff x="350493" y="161926"/>
            <a:chExt cx="15815527" cy="5596819"/>
          </a:xfrm>
        </xdr:grpSpPr>
        <xdr:cxnSp macro="">
          <xdr:nvCxnSpPr>
            <xdr:cNvPr id="59" name="Connecteur droit 58"/>
            <xdr:cNvCxnSpPr/>
          </xdr:nvCxnSpPr>
          <xdr:spPr>
            <a:xfrm flipH="1">
              <a:off x="1123597" y="1480370"/>
              <a:ext cx="41413" cy="4092233"/>
            </a:xfrm>
            <a:prstGeom prst="line">
              <a:avLst/>
            </a:prstGeom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0" name="Rectangle 59"/>
            <xdr:cNvSpPr/>
          </xdr:nvSpPr>
          <xdr:spPr>
            <a:xfrm>
              <a:off x="350493" y="1195923"/>
              <a:ext cx="2849182" cy="273541"/>
            </a:xfrm>
            <a:prstGeom prst="rect">
              <a:avLst/>
            </a:prstGeom>
            <a:noFill/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100" b="1">
                  <a:solidFill>
                    <a:sysClr val="windowText" lastClr="000000"/>
                  </a:solidFill>
                </a:rPr>
                <a:t>Directeur</a:t>
              </a:r>
              <a:r>
                <a:rPr lang="fr-FR" sz="1100" b="1" baseline="0">
                  <a:solidFill>
                    <a:sysClr val="windowText" lastClr="000000"/>
                  </a:solidFill>
                </a:rPr>
                <a:t> Technique</a:t>
              </a:r>
              <a:endParaRPr lang="fr-FR" sz="11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1" name="Rectangle 60"/>
            <xdr:cNvSpPr/>
          </xdr:nvSpPr>
          <xdr:spPr>
            <a:xfrm>
              <a:off x="861314" y="1974801"/>
              <a:ext cx="2307853" cy="243035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100" b="1">
                  <a:solidFill>
                    <a:sysClr val="windowText" lastClr="000000"/>
                  </a:solidFill>
                </a:rPr>
                <a:t>Responsable Production</a:t>
              </a:r>
            </a:p>
          </xdr:txBody>
        </xdr:sp>
        <xdr:sp macro="" textlink="">
          <xdr:nvSpPr>
            <xdr:cNvPr id="62" name="Rectangle 61"/>
            <xdr:cNvSpPr/>
          </xdr:nvSpPr>
          <xdr:spPr>
            <a:xfrm>
              <a:off x="833705" y="3623732"/>
              <a:ext cx="2307853" cy="24303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100" b="1">
                  <a:solidFill>
                    <a:sysClr val="windowText" lastClr="000000"/>
                  </a:solidFill>
                </a:rPr>
                <a:t>Responsable Maintenance</a:t>
              </a:r>
            </a:p>
          </xdr:txBody>
        </xdr:sp>
        <xdr:sp macro="" textlink="">
          <xdr:nvSpPr>
            <xdr:cNvPr id="63" name="Rectangle 62"/>
            <xdr:cNvSpPr/>
          </xdr:nvSpPr>
          <xdr:spPr>
            <a:xfrm>
              <a:off x="861314" y="5098663"/>
              <a:ext cx="2307853" cy="243035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100" b="1">
                  <a:solidFill>
                    <a:sysClr val="windowText" lastClr="000000"/>
                  </a:solidFill>
                </a:rPr>
                <a:t>Technicien Laboratoir</a:t>
              </a:r>
            </a:p>
          </xdr:txBody>
        </xdr:sp>
        <xdr:sp macro="" textlink="">
          <xdr:nvSpPr>
            <xdr:cNvPr id="64" name="Rectangle 63"/>
            <xdr:cNvSpPr/>
          </xdr:nvSpPr>
          <xdr:spPr>
            <a:xfrm>
              <a:off x="847509" y="5515710"/>
              <a:ext cx="2307853" cy="243035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100" b="1">
                  <a:solidFill>
                    <a:sysClr val="windowText" lastClr="000000"/>
                  </a:solidFill>
                </a:rPr>
                <a:t>Technicien Qualité</a:t>
              </a:r>
            </a:p>
          </xdr:txBody>
        </xdr:sp>
        <xdr:cxnSp macro="">
          <xdr:nvCxnSpPr>
            <xdr:cNvPr id="65" name="Connecteur droit 64"/>
            <xdr:cNvCxnSpPr/>
          </xdr:nvCxnSpPr>
          <xdr:spPr>
            <a:xfrm>
              <a:off x="2191975" y="2190225"/>
              <a:ext cx="0" cy="1119336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6" name="Rectangle 65"/>
            <xdr:cNvSpPr/>
          </xdr:nvSpPr>
          <xdr:spPr>
            <a:xfrm>
              <a:off x="2067735" y="2405651"/>
              <a:ext cx="1666887" cy="237591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100" b="1">
                  <a:solidFill>
                    <a:sysClr val="windowText" lastClr="000000"/>
                  </a:solidFill>
                </a:rPr>
                <a:t>Chef d'usine</a:t>
              </a:r>
            </a:p>
          </xdr:txBody>
        </xdr:sp>
        <xdr:sp macro="" textlink="">
          <xdr:nvSpPr>
            <xdr:cNvPr id="67" name="Rectangle 66"/>
            <xdr:cNvSpPr/>
          </xdr:nvSpPr>
          <xdr:spPr>
            <a:xfrm>
              <a:off x="2067737" y="2795090"/>
              <a:ext cx="1666887" cy="23759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100" b="1">
                  <a:solidFill>
                    <a:sysClr val="windowText" lastClr="000000"/>
                  </a:solidFill>
                </a:rPr>
                <a:t>Conducteur machine</a:t>
              </a:r>
            </a:p>
          </xdr:txBody>
        </xdr:sp>
        <xdr:sp macro="" textlink="">
          <xdr:nvSpPr>
            <xdr:cNvPr id="68" name="Rectangle 67"/>
            <xdr:cNvSpPr/>
          </xdr:nvSpPr>
          <xdr:spPr>
            <a:xfrm>
              <a:off x="2067736" y="3170722"/>
              <a:ext cx="1666887" cy="237591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100" b="1">
                  <a:solidFill>
                    <a:sysClr val="windowText" lastClr="000000"/>
                  </a:solidFill>
                </a:rPr>
                <a:t>Ouvriers</a:t>
              </a:r>
            </a:p>
          </xdr:txBody>
        </xdr:sp>
        <xdr:cxnSp macro="">
          <xdr:nvCxnSpPr>
            <xdr:cNvPr id="69" name="Connecteur droit 68"/>
            <xdr:cNvCxnSpPr/>
          </xdr:nvCxnSpPr>
          <xdr:spPr>
            <a:xfrm>
              <a:off x="2136758" y="3734172"/>
              <a:ext cx="0" cy="111933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0" name="Rectangle 69"/>
            <xdr:cNvSpPr/>
          </xdr:nvSpPr>
          <xdr:spPr>
            <a:xfrm>
              <a:off x="2012518" y="3949598"/>
              <a:ext cx="1666887" cy="237591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100" b="1">
                  <a:solidFill>
                    <a:sysClr val="windowText" lastClr="000000"/>
                  </a:solidFill>
                </a:rPr>
                <a:t>Electrivien</a:t>
              </a:r>
            </a:p>
          </xdr:txBody>
        </xdr:sp>
        <xdr:sp macro="" textlink="">
          <xdr:nvSpPr>
            <xdr:cNvPr id="71" name="Rectangle 70"/>
            <xdr:cNvSpPr/>
          </xdr:nvSpPr>
          <xdr:spPr>
            <a:xfrm>
              <a:off x="2012520" y="4333593"/>
              <a:ext cx="1666887" cy="243035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100" b="1">
                  <a:solidFill>
                    <a:sysClr val="windowText" lastClr="000000"/>
                  </a:solidFill>
                </a:rPr>
                <a:t>Soudeur</a:t>
              </a:r>
            </a:p>
          </xdr:txBody>
        </xdr:sp>
        <xdr:sp macro="" textlink="">
          <xdr:nvSpPr>
            <xdr:cNvPr id="72" name="Rectangle 71"/>
            <xdr:cNvSpPr/>
          </xdr:nvSpPr>
          <xdr:spPr>
            <a:xfrm>
              <a:off x="2012519" y="4709226"/>
              <a:ext cx="1666887" cy="24303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100" b="1">
                  <a:solidFill>
                    <a:sysClr val="windowText" lastClr="000000"/>
                  </a:solidFill>
                </a:rPr>
                <a:t>Mécanicien</a:t>
              </a:r>
              <a:r>
                <a:rPr lang="fr-FR" sz="1100" b="1" baseline="0">
                  <a:solidFill>
                    <a:sysClr val="windowText" lastClr="000000"/>
                  </a:solidFill>
                </a:rPr>
                <a:t> externe</a:t>
              </a:r>
              <a:endParaRPr lang="fr-FR" sz="1100" b="1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73" name="Groupe 72"/>
            <xdr:cNvGrpSpPr/>
          </xdr:nvGrpSpPr>
          <xdr:grpSpPr>
            <a:xfrm>
              <a:off x="1764040" y="161926"/>
              <a:ext cx="14401980" cy="1061605"/>
              <a:chOff x="1764040" y="161926"/>
              <a:chExt cx="14401980" cy="1061605"/>
            </a:xfrm>
          </xdr:grpSpPr>
          <xdr:cxnSp macro="">
            <xdr:nvCxnSpPr>
              <xdr:cNvPr id="74" name="Connecteur droit 73"/>
              <xdr:cNvCxnSpPr/>
            </xdr:nvCxnSpPr>
            <xdr:spPr>
              <a:xfrm>
                <a:off x="9590327" y="353473"/>
                <a:ext cx="15049" cy="696051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grpSp>
            <xdr:nvGrpSpPr>
              <xdr:cNvPr id="75" name="Groupe 74"/>
              <xdr:cNvGrpSpPr/>
            </xdr:nvGrpSpPr>
            <xdr:grpSpPr>
              <a:xfrm>
                <a:off x="1764040" y="161926"/>
                <a:ext cx="14401980" cy="1061605"/>
                <a:chOff x="1764040" y="161926"/>
                <a:chExt cx="14401980" cy="1061605"/>
              </a:xfrm>
            </xdr:grpSpPr>
            <xdr:sp macro="" textlink="">
              <xdr:nvSpPr>
                <xdr:cNvPr id="76" name="Rectangle 75"/>
                <xdr:cNvSpPr/>
              </xdr:nvSpPr>
              <xdr:spPr>
                <a:xfrm>
                  <a:off x="8183534" y="161926"/>
                  <a:ext cx="2849181" cy="270858"/>
                </a:xfrm>
                <a:prstGeom prst="rect">
                  <a:avLst/>
                </a:prstGeom>
                <a:noFill/>
                <a:ln>
                  <a:solidFill>
                    <a:schemeClr val="tx2">
                      <a:lumMod val="5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100" b="1">
                      <a:solidFill>
                        <a:sysClr val="windowText" lastClr="000000"/>
                      </a:solidFill>
                    </a:rPr>
                    <a:t>PDG</a:t>
                  </a:r>
                </a:p>
              </xdr:txBody>
            </xdr:sp>
            <xdr:sp macro="" textlink="">
              <xdr:nvSpPr>
                <xdr:cNvPr id="77" name="Rectangle 76"/>
                <xdr:cNvSpPr/>
              </xdr:nvSpPr>
              <xdr:spPr>
                <a:xfrm>
                  <a:off x="8212109" y="601551"/>
                  <a:ext cx="2849181" cy="273541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2">
                      <a:lumMod val="5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100" b="1">
                      <a:solidFill>
                        <a:sysClr val="windowText" lastClr="000000"/>
                      </a:solidFill>
                    </a:rPr>
                    <a:t>Directeur Général</a:t>
                  </a:r>
                </a:p>
              </xdr:txBody>
            </xdr:sp>
            <xdr:cxnSp macro="">
              <xdr:nvCxnSpPr>
                <xdr:cNvPr id="78" name="Connecteur droit 77"/>
                <xdr:cNvCxnSpPr/>
              </xdr:nvCxnSpPr>
              <xdr:spPr>
                <a:xfrm>
                  <a:off x="1777845" y="994300"/>
                  <a:ext cx="14335717" cy="27609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9" name="Connecteur droit avec flèche 78"/>
                <xdr:cNvCxnSpPr>
                  <a:endCxn id="60" idx="0"/>
                </xdr:cNvCxnSpPr>
              </xdr:nvCxnSpPr>
              <xdr:spPr>
                <a:xfrm>
                  <a:off x="1764040" y="994303"/>
                  <a:ext cx="11045" cy="201620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0" name="Connecteur droit avec flèche 79"/>
                <xdr:cNvCxnSpPr/>
              </xdr:nvCxnSpPr>
              <xdr:spPr>
                <a:xfrm>
                  <a:off x="5932558" y="994300"/>
                  <a:ext cx="11045" cy="201620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1" name="Connecteur droit avec flèche 80"/>
                <xdr:cNvCxnSpPr/>
              </xdr:nvCxnSpPr>
              <xdr:spPr>
                <a:xfrm>
                  <a:off x="9590327" y="1008107"/>
                  <a:ext cx="11045" cy="201620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2" name="Connecteur droit avec flèche 81"/>
                <xdr:cNvCxnSpPr/>
              </xdr:nvCxnSpPr>
              <xdr:spPr>
                <a:xfrm>
                  <a:off x="12676669" y="1021911"/>
                  <a:ext cx="11045" cy="201620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83" name="Connecteur droit avec flèche 82"/>
                <xdr:cNvCxnSpPr/>
              </xdr:nvCxnSpPr>
              <xdr:spPr>
                <a:xfrm>
                  <a:off x="16154975" y="1008107"/>
                  <a:ext cx="11045" cy="201620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3</xdr:row>
          <xdr:rowOff>28575</xdr:rowOff>
        </xdr:from>
        <xdr:to>
          <xdr:col>24</xdr:col>
          <xdr:colOff>314325</xdr:colOff>
          <xdr:row>5</xdr:row>
          <xdr:rowOff>123825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9</xdr:row>
      <xdr:rowOff>57150</xdr:rowOff>
    </xdr:from>
    <xdr:to>
      <xdr:col>7</xdr:col>
      <xdr:colOff>314325</xdr:colOff>
      <xdr:row>10</xdr:row>
      <xdr:rowOff>114299</xdr:rowOff>
    </xdr:to>
    <xdr:sp macro="" textlink="">
      <xdr:nvSpPr>
        <xdr:cNvPr id="4" name="ZoneTexte 3"/>
        <xdr:cNvSpPr txBox="1"/>
      </xdr:nvSpPr>
      <xdr:spPr>
        <a:xfrm>
          <a:off x="4991100" y="1771650"/>
          <a:ext cx="657225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1"/>
            <a:t>User:</a:t>
          </a: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10</xdr:col>
      <xdr:colOff>742950</xdr:colOff>
      <xdr:row>1</xdr:row>
      <xdr:rowOff>171450</xdr:rowOff>
    </xdr:to>
    <xdr:sp macro="" textlink="">
      <xdr:nvSpPr>
        <xdr:cNvPr id="6" name="Rectangle à coins arrondis 5"/>
        <xdr:cNvSpPr/>
      </xdr:nvSpPr>
      <xdr:spPr>
        <a:xfrm>
          <a:off x="3810000" y="200025"/>
          <a:ext cx="4552950" cy="17145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5</xdr:row>
          <xdr:rowOff>133350</xdr:rowOff>
        </xdr:from>
        <xdr:to>
          <xdr:col>10</xdr:col>
          <xdr:colOff>200025</xdr:colOff>
          <xdr:row>7</xdr:row>
          <xdr:rowOff>28575</xdr:rowOff>
        </xdr:to>
        <xdr:sp macro="" textlink="">
          <xdr:nvSpPr>
            <xdr:cNvPr id="25607" name="CommandButton2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9525</xdr:colOff>
      <xdr:row>1</xdr:row>
      <xdr:rowOff>180975</xdr:rowOff>
    </xdr:from>
    <xdr:to>
      <xdr:col>10</xdr:col>
      <xdr:colOff>742950</xdr:colOff>
      <xdr:row>3</xdr:row>
      <xdr:rowOff>123825</xdr:rowOff>
    </xdr:to>
    <xdr:sp macro="" textlink="">
      <xdr:nvSpPr>
        <xdr:cNvPr id="19" name="Rectangle : coins arrondi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819525" y="381000"/>
          <a:ext cx="4543425" cy="333375"/>
        </a:xfrm>
        <a:prstGeom prst="round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ysClr val="windowText" lastClr="000000"/>
              </a:solidFill>
            </a:rPr>
            <a:t>Suivie de</a:t>
          </a:r>
          <a:r>
            <a:rPr lang="fr-FR" sz="1600" b="1" baseline="0">
              <a:solidFill>
                <a:sysClr val="windowText" lastClr="000000"/>
              </a:solidFill>
            </a:rPr>
            <a:t> MP PEHD</a:t>
          </a:r>
          <a:endParaRPr lang="fr-F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9597</xdr:rowOff>
    </xdr:from>
    <xdr:to>
      <xdr:col>11</xdr:col>
      <xdr:colOff>44902</xdr:colOff>
      <xdr:row>5</xdr:row>
      <xdr:rowOff>578</xdr:rowOff>
    </xdr:to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9627877">
          <a:off x="7429500" y="209622"/>
          <a:ext cx="997402" cy="762506"/>
        </a:xfrm>
        <a:prstGeom prst="roundRect">
          <a:avLst>
            <a:gd name="adj" fmla="val 6297"/>
          </a:avLst>
        </a:prstGeom>
        <a:solidFill>
          <a:srgbClr val="FFFFFF">
            <a:shade val="85000"/>
          </a:srgbClr>
        </a:solidFill>
        <a:ln>
          <a:solidFill>
            <a:schemeClr val="bg1">
              <a:lumMod val="85000"/>
            </a:schemeClr>
          </a:solidFill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>
    <xdr:from>
      <xdr:col>5</xdr:col>
      <xdr:colOff>152400</xdr:colOff>
      <xdr:row>6</xdr:row>
      <xdr:rowOff>76200</xdr:rowOff>
    </xdr:from>
    <xdr:to>
      <xdr:col>9</xdr:col>
      <xdr:colOff>619125</xdr:colOff>
      <xdr:row>14</xdr:row>
      <xdr:rowOff>104774</xdr:rowOff>
    </xdr:to>
    <xdr:grpSp>
      <xdr:nvGrpSpPr>
        <xdr:cNvPr id="10" name="Groupe 9"/>
        <xdr:cNvGrpSpPr/>
      </xdr:nvGrpSpPr>
      <xdr:grpSpPr>
        <a:xfrm>
          <a:off x="3962400" y="1240367"/>
          <a:ext cx="3514725" cy="1552574"/>
          <a:chOff x="3962400" y="1238250"/>
          <a:chExt cx="3514725" cy="1552574"/>
        </a:xfrm>
        <a:scene3d>
          <a:camera prst="orthographicFront">
            <a:rot lat="0" lon="0" rev="0"/>
          </a:camera>
          <a:lightRig rig="glow" dir="t">
            <a:rot lat="0" lon="0" rev="4800000"/>
          </a:lightRig>
        </a:scene3d>
      </xdr:grpSpPr>
      <xdr:grpSp>
        <xdr:nvGrpSpPr>
          <xdr:cNvPr id="9" name="Groupe 8"/>
          <xdr:cNvGrpSpPr/>
        </xdr:nvGrpSpPr>
        <xdr:grpSpPr>
          <a:xfrm>
            <a:off x="4438650" y="1638299"/>
            <a:ext cx="3038475" cy="1152525"/>
            <a:chOff x="4438650" y="1638299"/>
            <a:chExt cx="3038475" cy="1152525"/>
          </a:xfrm>
        </xdr:grpSpPr>
        <xdr:grpSp>
          <xdr:nvGrpSpPr>
            <xdr:cNvPr id="7" name="Groupe 6"/>
            <xdr:cNvGrpSpPr/>
          </xdr:nvGrpSpPr>
          <xdr:grpSpPr>
            <a:xfrm>
              <a:off x="4438650" y="1638299"/>
              <a:ext cx="3038475" cy="1152525"/>
              <a:chOff x="4438650" y="1638299"/>
              <a:chExt cx="3038475" cy="1152525"/>
            </a:xfrm>
          </xdr:grpSpPr>
          <xdr:sp macro="" textlink="">
            <xdr:nvSpPr>
              <xdr:cNvPr id="3" name="Rectangle à coins arrondis 2"/>
              <xdr:cNvSpPr/>
            </xdr:nvSpPr>
            <xdr:spPr>
              <a:xfrm>
                <a:off x="4438650" y="1638299"/>
                <a:ext cx="3038475" cy="1152525"/>
              </a:xfrm>
              <a:prstGeom prst="roundRect">
                <a:avLst>
                  <a:gd name="adj" fmla="val 30303"/>
                </a:avLst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  <a:effectLst>
                <a:outerShdw blurRad="190500" dist="228600" dir="2700000" algn="ctr">
                  <a:srgbClr val="000000">
                    <a:alpha val="30000"/>
                  </a:srgbClr>
                </a:outerShdw>
              </a:effectLst>
              <a:sp3d prstMaterial="matte">
                <a:bevelT w="127000" h="635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25602" name="TextBox1" hidden="1">
                    <a:extLst>
                      <a:ext uri="{63B3BB69-23CF-44E3-9099-C40C66FF867C}">
                        <a14:compatExt spid="_x0000_s25602"/>
                      </a:ext>
                    </a:extLst>
                  </xdr:cNvPr>
                  <xdr:cNvSpPr/>
                </xdr:nvSpPr>
                <xdr:spPr bwMode="auto">
                  <a:xfrm>
                    <a:off x="5448300" y="1819276"/>
                    <a:ext cx="1457325" cy="2476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25603" name="TextBox2" hidden="1">
                    <a:extLst>
                      <a:ext uri="{63B3BB69-23CF-44E3-9099-C40C66FF867C}">
                        <a14:compatExt spid="_x0000_s25603"/>
                      </a:ext>
                    </a:extLst>
                  </xdr:cNvPr>
                  <xdr:cNvSpPr/>
                </xdr:nvSpPr>
                <xdr:spPr bwMode="auto">
                  <a:xfrm>
                    <a:off x="5448299" y="2133600"/>
                    <a:ext cx="1476375" cy="2476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sp macro="" textlink="">
            <xdr:nvSpPr>
              <xdr:cNvPr id="5" name="ZoneTexte 4"/>
              <xdr:cNvSpPr txBox="1"/>
            </xdr:nvSpPr>
            <xdr:spPr>
              <a:xfrm>
                <a:off x="4600576" y="2133600"/>
                <a:ext cx="847724" cy="247650"/>
              </a:xfrm>
              <a:prstGeom prst="rect">
                <a:avLst/>
              </a:prstGeom>
              <a:noFill/>
              <a:ln w="9525" cmpd="sng">
                <a:noFill/>
              </a:ln>
              <a:effectLst>
                <a:outerShdw blurRad="190500" dist="228600" dir="2700000" algn="ctr">
                  <a:srgbClr val="000000">
                    <a:alpha val="30000"/>
                  </a:srgbClr>
                </a:outerShdw>
              </a:effectLst>
              <a:sp3d prstMaterial="matte">
                <a:bevelT w="127000" h="63500"/>
              </a:sp3d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200" b="1"/>
                  <a:t>Password:</a:t>
                </a: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25604" name="CommandButton1" hidden="1">
                    <a:extLst>
                      <a:ext uri="{63B3BB69-23CF-44E3-9099-C40C66FF867C}">
                        <a14:compatExt spid="_x0000_s25604"/>
                      </a:ext>
                    </a:extLst>
                  </xdr:cNvPr>
                  <xdr:cNvSpPr/>
                </xdr:nvSpPr>
                <xdr:spPr bwMode="auto">
                  <a:xfrm>
                    <a:off x="5819775" y="2457450"/>
                    <a:ext cx="781050" cy="2667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xdr:sp macro="" textlink="">
          <xdr:nvSpPr>
            <xdr:cNvPr id="8" name="ZoneTexte 7"/>
            <xdr:cNvSpPr txBox="1"/>
          </xdr:nvSpPr>
          <xdr:spPr>
            <a:xfrm>
              <a:off x="4857750" y="1828800"/>
              <a:ext cx="552450" cy="228600"/>
            </a:xfrm>
            <a:prstGeom prst="rect">
              <a:avLst/>
            </a:prstGeom>
            <a:noFill/>
            <a:ln w="9525" cmpd="sng">
              <a:noFill/>
            </a:ln>
            <a:effectLst>
              <a:outerShdw blurRad="190500" dist="228600" dir="2700000" algn="ctr">
                <a:srgbClr val="000000">
                  <a:alpha val="30000"/>
                </a:srgbClr>
              </a:outerShdw>
            </a:effectLst>
            <a:sp3d prstMaterial="matte">
              <a:bevelT w="127000" h="63500"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200" b="1"/>
                <a:t>User:</a:t>
              </a:r>
            </a:p>
          </xdr:txBody>
        </xdr:sp>
      </xdr:grpSp>
      <xdr:sp macro="" textlink="">
        <xdr:nvSpPr>
          <xdr:cNvPr id="21" name="ZoneTexte 20"/>
          <xdr:cNvSpPr txBox="1"/>
        </xdr:nvSpPr>
        <xdr:spPr>
          <a:xfrm>
            <a:off x="3962400" y="1238250"/>
            <a:ext cx="1657350" cy="504825"/>
          </a:xfrm>
          <a:prstGeom prst="rect">
            <a:avLst/>
          </a:prstGeom>
          <a:noFill/>
          <a:ln w="9525" cmpd="sng"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p3d prstMaterial="matte">
            <a:bevelT w="127000" h="635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effectLst>
                  <a:innerShdw blurRad="63500" dist="50800" dir="13500000">
                    <a:prstClr val="black">
                      <a:alpha val="50000"/>
                    </a:prstClr>
                  </a:innerShdw>
                  <a:reflection blurRad="6350" stA="60000" endA="900" endPos="60000" dist="29997" dir="5400000" sy="-100000" algn="bl" rotWithShape="0"/>
                </a:effectLst>
              </a:rPr>
              <a:t>Login</a:t>
            </a:r>
          </a:p>
        </xdr:txBody>
      </xdr:sp>
    </xdr:grpSp>
    <xdr:clientData/>
  </xdr:twoCellAnchor>
  <xdr:twoCellAnchor editAs="oneCell">
    <xdr:from>
      <xdr:col>1</xdr:col>
      <xdr:colOff>169333</xdr:colOff>
      <xdr:row>0</xdr:row>
      <xdr:rowOff>31750</xdr:rowOff>
    </xdr:from>
    <xdr:to>
      <xdr:col>4</xdr:col>
      <xdr:colOff>465103</xdr:colOff>
      <xdr:row>3</xdr:row>
      <xdr:rowOff>106433</xdr:rowOff>
    </xdr:to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1333" y="31750"/>
          <a:ext cx="2581770" cy="667350"/>
        </a:xfrm>
        <a:prstGeom prst="rect">
          <a:avLst/>
        </a:prstGeom>
        <a:ln>
          <a:solidFill>
            <a:schemeClr val="accent5">
              <a:lumMod val="50000"/>
            </a:schemeClr>
          </a:solidFill>
        </a:ln>
        <a:effectLst>
          <a:softEdge rad="112500"/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</xdr:colOff>
      <xdr:row>3</xdr:row>
      <xdr:rowOff>0</xdr:rowOff>
    </xdr:from>
    <xdr:to>
      <xdr:col>3</xdr:col>
      <xdr:colOff>1485900</xdr:colOff>
      <xdr:row>4</xdr:row>
      <xdr:rowOff>7620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9C450D0-E8B2-9F2A-2E31-D858B496A7FF}"/>
            </a:ext>
          </a:extLst>
        </xdr:cNvPr>
        <xdr:cNvSpPr/>
      </xdr:nvSpPr>
      <xdr:spPr>
        <a:xfrm>
          <a:off x="2773680" y="716280"/>
          <a:ext cx="1493520" cy="25146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200"/>
            <a:t>Date</a:t>
          </a:r>
        </a:p>
      </xdr:txBody>
    </xdr:sp>
    <xdr:clientData/>
  </xdr:twoCellAnchor>
  <xdr:twoCellAnchor>
    <xdr:from>
      <xdr:col>5</xdr:col>
      <xdr:colOff>15240</xdr:colOff>
      <xdr:row>3</xdr:row>
      <xdr:rowOff>0</xdr:rowOff>
    </xdr:from>
    <xdr:to>
      <xdr:col>5</xdr:col>
      <xdr:colOff>861060</xdr:colOff>
      <xdr:row>4</xdr:row>
      <xdr:rowOff>7620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D9662791-2E10-DFCD-68B9-CBED5D08C347}"/>
            </a:ext>
          </a:extLst>
        </xdr:cNvPr>
        <xdr:cNvSpPr/>
      </xdr:nvSpPr>
      <xdr:spPr>
        <a:xfrm>
          <a:off x="5425440" y="716280"/>
          <a:ext cx="845820" cy="25146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200"/>
            <a:t>Heure</a:t>
          </a:r>
        </a:p>
      </xdr:txBody>
    </xdr:sp>
    <xdr:clientData/>
  </xdr:twoCellAnchor>
  <xdr:twoCellAnchor>
    <xdr:from>
      <xdr:col>8</xdr:col>
      <xdr:colOff>7620</xdr:colOff>
      <xdr:row>3</xdr:row>
      <xdr:rowOff>0</xdr:rowOff>
    </xdr:from>
    <xdr:to>
      <xdr:col>8</xdr:col>
      <xdr:colOff>1082040</xdr:colOff>
      <xdr:row>4</xdr:row>
      <xdr:rowOff>7620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C8D9271D-3F02-4C91-9D41-788C96ACF728}"/>
            </a:ext>
          </a:extLst>
        </xdr:cNvPr>
        <xdr:cNvSpPr/>
      </xdr:nvSpPr>
      <xdr:spPr>
        <a:xfrm>
          <a:off x="8298180" y="716280"/>
          <a:ext cx="1074420" cy="25146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200"/>
            <a:t>Chauffeur</a:t>
          </a:r>
        </a:p>
      </xdr:txBody>
    </xdr:sp>
    <xdr:clientData/>
  </xdr:twoCellAnchor>
  <xdr:twoCellAnchor>
    <xdr:from>
      <xdr:col>10</xdr:col>
      <xdr:colOff>22860</xdr:colOff>
      <xdr:row>3</xdr:row>
      <xdr:rowOff>0</xdr:rowOff>
    </xdr:from>
    <xdr:to>
      <xdr:col>10</xdr:col>
      <xdr:colOff>693420</xdr:colOff>
      <xdr:row>4</xdr:row>
      <xdr:rowOff>7620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B97FD7E-DCEC-B95A-19AE-155928E88426}"/>
            </a:ext>
          </a:extLst>
        </xdr:cNvPr>
        <xdr:cNvSpPr/>
      </xdr:nvSpPr>
      <xdr:spPr>
        <a:xfrm>
          <a:off x="10355580" y="716280"/>
          <a:ext cx="670560" cy="25146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200"/>
            <a:t>Camion</a:t>
          </a:r>
        </a:p>
      </xdr:txBody>
    </xdr:sp>
    <xdr:clientData/>
  </xdr:twoCellAnchor>
  <xdr:twoCellAnchor>
    <xdr:from>
      <xdr:col>4</xdr:col>
      <xdr:colOff>899160</xdr:colOff>
      <xdr:row>2</xdr:row>
      <xdr:rowOff>41910</xdr:rowOff>
    </xdr:from>
    <xdr:to>
      <xdr:col>5</xdr:col>
      <xdr:colOff>792480</xdr:colOff>
      <xdr:row>3</xdr:row>
      <xdr:rowOff>3810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B4B25F8A-F8D4-F913-D33F-991183AFC57E}"/>
            </a:ext>
          </a:extLst>
        </xdr:cNvPr>
        <xdr:cNvGrpSpPr/>
      </xdr:nvGrpSpPr>
      <xdr:grpSpPr>
        <a:xfrm>
          <a:off x="5058410" y="613410"/>
          <a:ext cx="993987" cy="300567"/>
          <a:chOff x="5173980" y="388620"/>
          <a:chExt cx="1028700" cy="312420"/>
        </a:xfrm>
      </xdr:grpSpPr>
      <xdr:sp macro="[0]!AjoutNouvelOrdreRec" textlink="">
        <xdr:nvSpPr>
          <xdr:cNvPr id="7" name="Rectangle : coins arrondis 6">
            <a:extLst>
              <a:ext uri="{FF2B5EF4-FFF2-40B4-BE49-F238E27FC236}">
                <a16:creationId xmlns:a16="http://schemas.microsoft.com/office/drawing/2014/main" id="{D2AE30B5-9D8E-4DED-7E4D-EA872C51D212}"/>
              </a:ext>
            </a:extLst>
          </xdr:cNvPr>
          <xdr:cNvSpPr/>
        </xdr:nvSpPr>
        <xdr:spPr>
          <a:xfrm>
            <a:off x="5196840" y="411480"/>
            <a:ext cx="1005840" cy="266700"/>
          </a:xfrm>
          <a:prstGeom prst="roundRect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fr-CM" sz="1100" b="1"/>
              <a:t>Nouveau</a:t>
            </a:r>
          </a:p>
        </xdr:txBody>
      </xdr:sp>
      <xdr:pic macro="[0]!AjoutNouvelOrdreRec">
        <xdr:nvPicPr>
          <xdr:cNvPr id="6" name="Graphique 5" descr="Badge à suivre avec un remplissage uni">
            <a:extLst>
              <a:ext uri="{FF2B5EF4-FFF2-40B4-BE49-F238E27FC236}">
                <a16:creationId xmlns:a16="http://schemas.microsoft.com/office/drawing/2014/main" id="{F1E48C5A-9C5A-3141-3AF6-DF6E19D92F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173980" y="388620"/>
            <a:ext cx="312420" cy="31242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220980</xdr:colOff>
      <xdr:row>2</xdr:row>
      <xdr:rowOff>22860</xdr:rowOff>
    </xdr:from>
    <xdr:to>
      <xdr:col>7</xdr:col>
      <xdr:colOff>518160</xdr:colOff>
      <xdr:row>3</xdr:row>
      <xdr:rowOff>22860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90A60DD4-19A7-D300-0FBE-C4193D05DBCF}"/>
            </a:ext>
          </a:extLst>
        </xdr:cNvPr>
        <xdr:cNvGrpSpPr/>
      </xdr:nvGrpSpPr>
      <xdr:grpSpPr>
        <a:xfrm>
          <a:off x="6327563" y="594360"/>
          <a:ext cx="1059180" cy="338667"/>
          <a:chOff x="7018020" y="312420"/>
          <a:chExt cx="1089660" cy="350520"/>
        </a:xfrm>
      </xdr:grpSpPr>
      <xdr:sp macro="[0]!EnregistrerOrdreRec" textlink="">
        <xdr:nvSpPr>
          <xdr:cNvPr id="15" name="Rectangle : coins arrondis 14">
            <a:extLst>
              <a:ext uri="{FF2B5EF4-FFF2-40B4-BE49-F238E27FC236}">
                <a16:creationId xmlns:a16="http://schemas.microsoft.com/office/drawing/2014/main" id="{5DA1D4CD-6C8F-AAC1-0371-7623B6FDBD80}"/>
              </a:ext>
            </a:extLst>
          </xdr:cNvPr>
          <xdr:cNvSpPr/>
        </xdr:nvSpPr>
        <xdr:spPr>
          <a:xfrm>
            <a:off x="7048500" y="342900"/>
            <a:ext cx="1059180" cy="297180"/>
          </a:xfrm>
          <a:prstGeom prst="round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fr-CM" sz="1100" b="1"/>
              <a:t>Enregistrer</a:t>
            </a:r>
          </a:p>
        </xdr:txBody>
      </xdr:sp>
      <xdr:pic macro="[0]!EnregistrerOrdreRec">
        <xdr:nvPicPr>
          <xdr:cNvPr id="13" name="Graphique 12" descr="Disque avec un remplissage uni">
            <a:extLst>
              <a:ext uri="{FF2B5EF4-FFF2-40B4-BE49-F238E27FC236}">
                <a16:creationId xmlns:a16="http://schemas.microsoft.com/office/drawing/2014/main" id="{8838418E-2CE9-CB7D-D1F2-AB2A5EC10F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018020" y="312420"/>
            <a:ext cx="350520" cy="35052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0</xdr:rowOff>
        </xdr:from>
        <xdr:to>
          <xdr:col>13</xdr:col>
          <xdr:colOff>590550</xdr:colOff>
          <xdr:row>1</xdr:row>
          <xdr:rowOff>171450</xdr:rowOff>
        </xdr:to>
        <xdr:sp macro="" textlink="">
          <xdr:nvSpPr>
            <xdr:cNvPr id="20482" name="CommandButton1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609600</xdr:colOff>
      <xdr:row>11</xdr:row>
      <xdr:rowOff>152400</xdr:rowOff>
    </xdr:from>
    <xdr:to>
      <xdr:col>1</xdr:col>
      <xdr:colOff>19050</xdr:colOff>
      <xdr:row>15</xdr:row>
      <xdr:rowOff>104775</xdr:rowOff>
    </xdr:to>
    <xdr:grpSp>
      <xdr:nvGrpSpPr>
        <xdr:cNvPr id="5" name="Groupe 4"/>
        <xdr:cNvGrpSpPr/>
      </xdr:nvGrpSpPr>
      <xdr:grpSpPr>
        <a:xfrm>
          <a:off x="609600" y="2755900"/>
          <a:ext cx="912283" cy="714375"/>
          <a:chOff x="11925300" y="523875"/>
          <a:chExt cx="937496" cy="714375"/>
        </a:xfrm>
      </xdr:grpSpPr>
      <xdr:sp macro="" textlink="">
        <xdr:nvSpPr>
          <xdr:cNvPr id="2" name="Flèche droite 1"/>
          <xdr:cNvSpPr/>
        </xdr:nvSpPr>
        <xdr:spPr>
          <a:xfrm>
            <a:off x="11925300" y="523875"/>
            <a:ext cx="937496" cy="714375"/>
          </a:xfrm>
          <a:prstGeom prst="rightArrow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ZoneTexte 3">
            <a:hlinkClick xmlns:r="http://schemas.openxmlformats.org/officeDocument/2006/relationships" r:id="rId5"/>
          </xdr:cNvPr>
          <xdr:cNvSpPr txBox="1"/>
        </xdr:nvSpPr>
        <xdr:spPr>
          <a:xfrm>
            <a:off x="11991975" y="704851"/>
            <a:ext cx="78105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 b="1">
                <a:latin typeface="Algerian" panose="04020705040A02060702" pitchFamily="82" charset="0"/>
              </a:rPr>
              <a:t>SORTIE</a:t>
            </a:r>
          </a:p>
        </xdr:txBody>
      </xdr:sp>
    </xdr:grpSp>
    <xdr:clientData/>
  </xdr:twoCellAnchor>
  <xdr:twoCellAnchor>
    <xdr:from>
      <xdr:col>0</xdr:col>
      <xdr:colOff>542925</xdr:colOff>
      <xdr:row>15</xdr:row>
      <xdr:rowOff>123825</xdr:rowOff>
    </xdr:from>
    <xdr:to>
      <xdr:col>1</xdr:col>
      <xdr:colOff>76200</xdr:colOff>
      <xdr:row>19</xdr:row>
      <xdr:rowOff>76200</xdr:rowOff>
    </xdr:to>
    <xdr:grpSp>
      <xdr:nvGrpSpPr>
        <xdr:cNvPr id="22" name="Groupe 21"/>
        <xdr:cNvGrpSpPr/>
      </xdr:nvGrpSpPr>
      <xdr:grpSpPr>
        <a:xfrm>
          <a:off x="542925" y="3489325"/>
          <a:ext cx="1036108" cy="714375"/>
          <a:chOff x="12087225" y="1190625"/>
          <a:chExt cx="1038225" cy="714375"/>
        </a:xfrm>
      </xdr:grpSpPr>
      <xdr:sp macro="" textlink="">
        <xdr:nvSpPr>
          <xdr:cNvPr id="17" name="Flèche droite 16"/>
          <xdr:cNvSpPr/>
        </xdr:nvSpPr>
        <xdr:spPr>
          <a:xfrm>
            <a:off x="12125325" y="1190625"/>
            <a:ext cx="923925" cy="714375"/>
          </a:xfrm>
          <a:prstGeom prst="rightArrow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1" name="ZoneTexte 20">
            <a:hlinkClick xmlns:r="http://schemas.openxmlformats.org/officeDocument/2006/relationships" r:id="rId6"/>
          </xdr:cNvPr>
          <xdr:cNvSpPr txBox="1"/>
        </xdr:nvSpPr>
        <xdr:spPr>
          <a:xfrm>
            <a:off x="12087225" y="1409700"/>
            <a:ext cx="103822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 b="1">
                <a:latin typeface="Algerian" panose="04020705040A02060702" pitchFamily="82" charset="0"/>
              </a:rPr>
              <a:t>INVENTAIRE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</xdr:colOff>
      <xdr:row>3</xdr:row>
      <xdr:rowOff>0</xdr:rowOff>
    </xdr:from>
    <xdr:to>
      <xdr:col>3</xdr:col>
      <xdr:colOff>1485900</xdr:colOff>
      <xdr:row>4</xdr:row>
      <xdr:rowOff>7620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5A16E8A-7999-474D-93A3-8F0DB08CA88F}"/>
            </a:ext>
          </a:extLst>
        </xdr:cNvPr>
        <xdr:cNvSpPr/>
      </xdr:nvSpPr>
      <xdr:spPr>
        <a:xfrm>
          <a:off x="2773680" y="716280"/>
          <a:ext cx="1493520" cy="251460"/>
        </a:xfrm>
        <a:prstGeom prst="rect">
          <a:avLst/>
        </a:prstGeom>
        <a:solidFill>
          <a:srgbClr val="6A310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200"/>
            <a:t>Date</a:t>
          </a:r>
        </a:p>
      </xdr:txBody>
    </xdr:sp>
    <xdr:clientData/>
  </xdr:twoCellAnchor>
  <xdr:twoCellAnchor>
    <xdr:from>
      <xdr:col>5</xdr:col>
      <xdr:colOff>15240</xdr:colOff>
      <xdr:row>3</xdr:row>
      <xdr:rowOff>0</xdr:rowOff>
    </xdr:from>
    <xdr:to>
      <xdr:col>5</xdr:col>
      <xdr:colOff>861060</xdr:colOff>
      <xdr:row>4</xdr:row>
      <xdr:rowOff>7620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7C28B14-66A5-4845-B1BC-5DD7E7DAC759}"/>
            </a:ext>
          </a:extLst>
        </xdr:cNvPr>
        <xdr:cNvSpPr/>
      </xdr:nvSpPr>
      <xdr:spPr>
        <a:xfrm>
          <a:off x="5425440" y="716280"/>
          <a:ext cx="845820" cy="251460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200"/>
            <a:t>Heure</a:t>
          </a:r>
        </a:p>
      </xdr:txBody>
    </xdr:sp>
    <xdr:clientData/>
  </xdr:twoCellAnchor>
  <xdr:twoCellAnchor>
    <xdr:from>
      <xdr:col>8</xdr:col>
      <xdr:colOff>7620</xdr:colOff>
      <xdr:row>3</xdr:row>
      <xdr:rowOff>0</xdr:rowOff>
    </xdr:from>
    <xdr:to>
      <xdr:col>8</xdr:col>
      <xdr:colOff>1082040</xdr:colOff>
      <xdr:row>4</xdr:row>
      <xdr:rowOff>7620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EDFC2C50-390F-44BB-A59D-D84D8EA2220D}"/>
            </a:ext>
          </a:extLst>
        </xdr:cNvPr>
        <xdr:cNvSpPr/>
      </xdr:nvSpPr>
      <xdr:spPr>
        <a:xfrm>
          <a:off x="8298180" y="716280"/>
          <a:ext cx="1074420" cy="251460"/>
        </a:xfrm>
        <a:prstGeom prst="rect">
          <a:avLst/>
        </a:prstGeom>
        <a:solidFill>
          <a:srgbClr val="6A310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200"/>
            <a:t>Chauffeur</a:t>
          </a:r>
        </a:p>
      </xdr:txBody>
    </xdr:sp>
    <xdr:clientData/>
  </xdr:twoCellAnchor>
  <xdr:twoCellAnchor>
    <xdr:from>
      <xdr:col>10</xdr:col>
      <xdr:colOff>22860</xdr:colOff>
      <xdr:row>3</xdr:row>
      <xdr:rowOff>0</xdr:rowOff>
    </xdr:from>
    <xdr:to>
      <xdr:col>10</xdr:col>
      <xdr:colOff>693420</xdr:colOff>
      <xdr:row>4</xdr:row>
      <xdr:rowOff>7620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BC3C1CA-4BBA-4850-9987-8DC773C130BC}"/>
            </a:ext>
          </a:extLst>
        </xdr:cNvPr>
        <xdr:cNvSpPr/>
      </xdr:nvSpPr>
      <xdr:spPr>
        <a:xfrm>
          <a:off x="10355580" y="716280"/>
          <a:ext cx="670560" cy="251460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200"/>
            <a:t>Camion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137160</xdr:colOff>
      <xdr:row>2</xdr:row>
      <xdr:rowOff>342900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81FCAD62-93BC-B888-5797-015A3C070A24}"/>
            </a:ext>
          </a:extLst>
        </xdr:cNvPr>
        <xdr:cNvGrpSpPr/>
      </xdr:nvGrpSpPr>
      <xdr:grpSpPr>
        <a:xfrm>
          <a:off x="5257800" y="533400"/>
          <a:ext cx="984885" cy="342900"/>
          <a:chOff x="5410200" y="541020"/>
          <a:chExt cx="1005840" cy="342900"/>
        </a:xfrm>
      </xdr:grpSpPr>
      <xdr:sp macro="[0]!AjoutNouvelOrdreTransf" textlink="">
        <xdr:nvSpPr>
          <xdr:cNvPr id="2" name="Rectangle : coins arrondis 1">
            <a:extLst>
              <a:ext uri="{FF2B5EF4-FFF2-40B4-BE49-F238E27FC236}">
                <a16:creationId xmlns:a16="http://schemas.microsoft.com/office/drawing/2014/main" id="{82B0512B-746E-F783-119E-81F17E47E801}"/>
              </a:ext>
            </a:extLst>
          </xdr:cNvPr>
          <xdr:cNvSpPr/>
        </xdr:nvSpPr>
        <xdr:spPr>
          <a:xfrm>
            <a:off x="5425440" y="563880"/>
            <a:ext cx="990600" cy="320040"/>
          </a:xfrm>
          <a:prstGeom prst="roundRect">
            <a:avLst/>
          </a:prstGeom>
          <a:solidFill>
            <a:srgbClr val="6A310A"/>
          </a:solidFill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fr-CM" sz="1200" b="1"/>
              <a:t>Nouveau</a:t>
            </a:r>
            <a:endParaRPr lang="fr-CM" sz="1100" b="1"/>
          </a:p>
        </xdr:txBody>
      </xdr:sp>
      <xdr:pic macro="[0]!AjoutNouvelOrdreTransf">
        <xdr:nvPicPr>
          <xdr:cNvPr id="11" name="Graphique 10" descr="Badge à suivre avec un remplissage uni">
            <a:extLst>
              <a:ext uri="{FF2B5EF4-FFF2-40B4-BE49-F238E27FC236}">
                <a16:creationId xmlns:a16="http://schemas.microsoft.com/office/drawing/2014/main" id="{D61ACAC4-09BC-488B-A64E-B3F54D9AE2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410200" y="541020"/>
            <a:ext cx="320040" cy="32004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510540</xdr:colOff>
      <xdr:row>1</xdr:row>
      <xdr:rowOff>342900</xdr:rowOff>
    </xdr:from>
    <xdr:to>
      <xdr:col>7</xdr:col>
      <xdr:colOff>937260</xdr:colOff>
      <xdr:row>3</xdr:row>
      <xdr:rowOff>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9C8BDE6-821D-8969-2149-39775A720803}"/>
            </a:ext>
          </a:extLst>
        </xdr:cNvPr>
        <xdr:cNvGrpSpPr/>
      </xdr:nvGrpSpPr>
      <xdr:grpSpPr>
        <a:xfrm>
          <a:off x="6616065" y="533400"/>
          <a:ext cx="1188720" cy="342900"/>
          <a:chOff x="6789420" y="525780"/>
          <a:chExt cx="1219200" cy="365760"/>
        </a:xfrm>
      </xdr:grpSpPr>
      <xdr:sp macro="[0]!EnregistrerOrdreTransf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43A12FE5-586B-7CCB-D507-EFDBEF4687DD}"/>
              </a:ext>
            </a:extLst>
          </xdr:cNvPr>
          <xdr:cNvSpPr/>
        </xdr:nvSpPr>
        <xdr:spPr>
          <a:xfrm>
            <a:off x="6789420" y="552450"/>
            <a:ext cx="1219200" cy="320040"/>
          </a:xfrm>
          <a:prstGeom prst="roundRect">
            <a:avLst/>
          </a:prstGeom>
          <a:solidFill>
            <a:srgbClr val="6A310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fr-CM" sz="1100" b="1"/>
              <a:t>Enregistrer</a:t>
            </a:r>
          </a:p>
        </xdr:txBody>
      </xdr:sp>
      <xdr:pic macro="[0]!EnregistrerOrdreTransf">
        <xdr:nvPicPr>
          <xdr:cNvPr id="6" name="Graphique 5" descr="Disque avec un remplissage uni">
            <a:extLst>
              <a:ext uri="{FF2B5EF4-FFF2-40B4-BE49-F238E27FC236}">
                <a16:creationId xmlns:a16="http://schemas.microsoft.com/office/drawing/2014/main" id="{32779D5A-FEFE-2454-11BC-143934A174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89420" y="525780"/>
            <a:ext cx="365760" cy="3657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609600</xdr:colOff>
      <xdr:row>12</xdr:row>
      <xdr:rowOff>0</xdr:rowOff>
    </xdr:from>
    <xdr:to>
      <xdr:col>1</xdr:col>
      <xdr:colOff>171450</xdr:colOff>
      <xdr:row>15</xdr:row>
      <xdr:rowOff>171450</xdr:rowOff>
    </xdr:to>
    <xdr:sp macro="" textlink="">
      <xdr:nvSpPr>
        <xdr:cNvPr id="5" name="Flèche gauche 4">
          <a:hlinkClick xmlns:r="http://schemas.openxmlformats.org/officeDocument/2006/relationships" r:id="rId5"/>
        </xdr:cNvPr>
        <xdr:cNvSpPr/>
      </xdr:nvSpPr>
      <xdr:spPr>
        <a:xfrm>
          <a:off x="609600" y="2743200"/>
          <a:ext cx="1066800" cy="7429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b="1">
              <a:latin typeface="Algerian" panose="04020705040A02060702" pitchFamily="82" charset="0"/>
            </a:rPr>
            <a:t>RECEPTION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640080</xdr:colOff>
      <xdr:row>1</xdr:row>
      <xdr:rowOff>72390</xdr:rowOff>
    </xdr:from>
    <xdr:to>
      <xdr:col>6</xdr:col>
      <xdr:colOff>487680</xdr:colOff>
      <xdr:row>2</xdr:row>
      <xdr:rowOff>179070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C7E81DFF-B6DC-C225-331E-84C7F8F68F6E}"/>
            </a:ext>
          </a:extLst>
        </xdr:cNvPr>
        <xdr:cNvGrpSpPr/>
      </xdr:nvGrpSpPr>
      <xdr:grpSpPr>
        <a:xfrm>
          <a:off x="4497705" y="386715"/>
          <a:ext cx="1019175" cy="297180"/>
          <a:chOff x="4716780" y="342900"/>
          <a:chExt cx="1066800" cy="289560"/>
        </a:xfrm>
      </xdr:grpSpPr>
      <xdr:sp macro="[0]!NouvelInventaire" textlink="">
        <xdr:nvSpPr>
          <xdr:cNvPr id="2" name="Rectangle : coins arrondis 1">
            <a:extLst>
              <a:ext uri="{FF2B5EF4-FFF2-40B4-BE49-F238E27FC236}">
                <a16:creationId xmlns:a16="http://schemas.microsoft.com/office/drawing/2014/main" id="{ABDE0423-6475-B80F-1F81-C2EC3A51C459}"/>
              </a:ext>
            </a:extLst>
          </xdr:cNvPr>
          <xdr:cNvSpPr/>
        </xdr:nvSpPr>
        <xdr:spPr>
          <a:xfrm>
            <a:off x="4716780" y="342900"/>
            <a:ext cx="1066800" cy="266700"/>
          </a:xfrm>
          <a:prstGeom prst="round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CM" sz="1100"/>
              <a:t>Nouveau</a:t>
            </a:r>
          </a:p>
        </xdr:txBody>
      </xdr:sp>
      <xdr:pic macro="[0]!NouvelInventaire">
        <xdr:nvPicPr>
          <xdr:cNvPr id="7" name="Graphique 6" descr="Badge à suivre avec un remplissage uni">
            <a:extLst>
              <a:ext uri="{FF2B5EF4-FFF2-40B4-BE49-F238E27FC236}">
                <a16:creationId xmlns:a16="http://schemas.microsoft.com/office/drawing/2014/main" id="{EC375CC5-27AF-617A-780C-9B0412FB0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732020" y="342900"/>
            <a:ext cx="289560" cy="28956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1005840</xdr:colOff>
      <xdr:row>1</xdr:row>
      <xdr:rowOff>68580</xdr:rowOff>
    </xdr:from>
    <xdr:to>
      <xdr:col>6</xdr:col>
      <xdr:colOff>2057400</xdr:colOff>
      <xdr:row>3</xdr:row>
      <xdr:rowOff>0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5CBBE12-118A-0575-9F15-A6F85A0ADC38}"/>
            </a:ext>
          </a:extLst>
        </xdr:cNvPr>
        <xdr:cNvGrpSpPr/>
      </xdr:nvGrpSpPr>
      <xdr:grpSpPr>
        <a:xfrm>
          <a:off x="6035040" y="382905"/>
          <a:ext cx="1003935" cy="312420"/>
          <a:chOff x="6111240" y="335280"/>
          <a:chExt cx="1051560" cy="297180"/>
        </a:xfrm>
      </xdr:grpSpPr>
      <xdr:sp macro="[0]!EnregistrerInventaire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5D40444E-1FFF-B16A-A67F-3B6AE0454989}"/>
              </a:ext>
            </a:extLst>
          </xdr:cNvPr>
          <xdr:cNvSpPr/>
        </xdr:nvSpPr>
        <xdr:spPr>
          <a:xfrm>
            <a:off x="6111240" y="342900"/>
            <a:ext cx="1051560" cy="266700"/>
          </a:xfrm>
          <a:prstGeom prst="round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CM" sz="1100"/>
              <a:t>Enregistrer</a:t>
            </a:r>
          </a:p>
        </xdr:txBody>
      </xdr:sp>
      <xdr:pic macro="[0]!EnregistrerInventaire">
        <xdr:nvPicPr>
          <xdr:cNvPr id="10" name="Graphique 9" descr="Disque avec un remplissage uni">
            <a:extLst>
              <a:ext uri="{FF2B5EF4-FFF2-40B4-BE49-F238E27FC236}">
                <a16:creationId xmlns:a16="http://schemas.microsoft.com/office/drawing/2014/main" id="{3AB80E43-42CB-A83D-3FCF-E07DBC7F6B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164580" y="335280"/>
            <a:ext cx="251460" cy="29718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862017</xdr:colOff>
      <xdr:row>12</xdr:row>
      <xdr:rowOff>176213</xdr:rowOff>
    </xdr:from>
    <xdr:to>
      <xdr:col>1</xdr:col>
      <xdr:colOff>799487</xdr:colOff>
      <xdr:row>16</xdr:row>
      <xdr:rowOff>114301</xdr:rowOff>
    </xdr:to>
    <xdr:grpSp>
      <xdr:nvGrpSpPr>
        <xdr:cNvPr id="6" name="Groupe 5">
          <a:hlinkClick xmlns:r="http://schemas.openxmlformats.org/officeDocument/2006/relationships" r:id="rId5"/>
        </xdr:cNvPr>
        <xdr:cNvGrpSpPr/>
      </xdr:nvGrpSpPr>
      <xdr:grpSpPr>
        <a:xfrm>
          <a:off x="862017" y="2662238"/>
          <a:ext cx="1137620" cy="700088"/>
          <a:chOff x="10853739" y="233362"/>
          <a:chExt cx="1119493" cy="752475"/>
        </a:xfrm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</xdr:grpSpPr>
      <xdr:sp macro="" textlink="">
        <xdr:nvSpPr>
          <xdr:cNvPr id="4" name="Flèche vers le haut 3"/>
          <xdr:cNvSpPr/>
        </xdr:nvSpPr>
        <xdr:spPr>
          <a:xfrm rot="16200000">
            <a:off x="10990687" y="96414"/>
            <a:ext cx="752475" cy="1026372"/>
          </a:xfrm>
          <a:prstGeom prst="upArrow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ZoneTexte 4"/>
          <xdr:cNvSpPr txBox="1"/>
        </xdr:nvSpPr>
        <xdr:spPr>
          <a:xfrm>
            <a:off x="11049306" y="437438"/>
            <a:ext cx="923926" cy="257175"/>
          </a:xfrm>
          <a:prstGeom prst="rect">
            <a:avLst/>
          </a:prstGeom>
          <a:noFill/>
          <a:ln w="9525" cmpd="sng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 b="1">
                <a:latin typeface="Algerian" panose="04020705040A02060702" pitchFamily="82" charset="0"/>
              </a:rPr>
              <a:t>RECEPTION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740833</xdr:colOff>
      <xdr:row>0</xdr:row>
      <xdr:rowOff>0</xdr:rowOff>
    </xdr:from>
    <xdr:to>
      <xdr:col>30</xdr:col>
      <xdr:colOff>148166</xdr:colOff>
      <xdr:row>2</xdr:row>
      <xdr:rowOff>95250</xdr:rowOff>
    </xdr:to>
    <xdr:sp macro="" textlink="">
      <xdr:nvSpPr>
        <xdr:cNvPr id="37" name="Rectangle à coins arrondis 36"/>
        <xdr:cNvSpPr/>
      </xdr:nvSpPr>
      <xdr:spPr>
        <a:xfrm>
          <a:off x="2264833" y="0"/>
          <a:ext cx="20743333" cy="476250"/>
        </a:xfrm>
        <a:prstGeom prst="roundRect">
          <a:avLst>
            <a:gd name="adj" fmla="val 555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618068</xdr:colOff>
      <xdr:row>0</xdr:row>
      <xdr:rowOff>21167</xdr:rowOff>
    </xdr:from>
    <xdr:to>
      <xdr:col>3</xdr:col>
      <xdr:colOff>63499</xdr:colOff>
      <xdr:row>28</xdr:row>
      <xdr:rowOff>127003</xdr:rowOff>
    </xdr:to>
    <xdr:sp macro="" textlink="">
      <xdr:nvSpPr>
        <xdr:cNvPr id="4" name="Rectangle avec coins arrondis du même côté 3"/>
        <xdr:cNvSpPr/>
      </xdr:nvSpPr>
      <xdr:spPr>
        <a:xfrm rot="5400000">
          <a:off x="-474134" y="2637369"/>
          <a:ext cx="5439836" cy="207431"/>
        </a:xfrm>
        <a:prstGeom prst="round2Same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</xdr:colOff>
      <xdr:row>0</xdr:row>
      <xdr:rowOff>0</xdr:rowOff>
    </xdr:from>
    <xdr:to>
      <xdr:col>3</xdr:col>
      <xdr:colOff>130176</xdr:colOff>
      <xdr:row>28</xdr:row>
      <xdr:rowOff>74084</xdr:rowOff>
    </xdr:to>
    <xdr:grpSp>
      <xdr:nvGrpSpPr>
        <xdr:cNvPr id="21" name="Groupe 20"/>
        <xdr:cNvGrpSpPr/>
      </xdr:nvGrpSpPr>
      <xdr:grpSpPr>
        <a:xfrm>
          <a:off x="50800" y="0"/>
          <a:ext cx="2365376" cy="5408084"/>
          <a:chOff x="50800" y="0"/>
          <a:chExt cx="2365376" cy="5408084"/>
        </a:xfrm>
      </xdr:grpSpPr>
      <xdr:grpSp>
        <xdr:nvGrpSpPr>
          <xdr:cNvPr id="16" name="Groupe 15">
            <a:hlinkClick xmlns:r="http://schemas.openxmlformats.org/officeDocument/2006/relationships" r:id="rId1"/>
          </xdr:cNvPr>
          <xdr:cNvGrpSpPr/>
        </xdr:nvGrpSpPr>
        <xdr:grpSpPr>
          <a:xfrm>
            <a:off x="50800" y="0"/>
            <a:ext cx="2143130" cy="5408084"/>
            <a:chOff x="19050" y="1"/>
            <a:chExt cx="2143130" cy="5408084"/>
          </a:xfrm>
        </xdr:grpSpPr>
        <xdr:sp macro="" textlink="">
          <xdr:nvSpPr>
            <xdr:cNvPr id="2" name="Rectangle 1"/>
            <xdr:cNvSpPr/>
          </xdr:nvSpPr>
          <xdr:spPr>
            <a:xfrm>
              <a:off x="19050" y="9525"/>
              <a:ext cx="1514475" cy="5391150"/>
            </a:xfrm>
            <a:prstGeom prst="rect">
              <a:avLst/>
            </a:prstGeom>
            <a:solidFill>
              <a:srgbClr val="0070C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3" name="Rectangle avec coins arrondis du même côté 2"/>
            <xdr:cNvSpPr/>
          </xdr:nvSpPr>
          <xdr:spPr>
            <a:xfrm rot="16200000">
              <a:off x="-1448325" y="1797580"/>
              <a:ext cx="5408084" cy="1812926"/>
            </a:xfrm>
            <a:prstGeom prst="round2Same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pic>
        <xdr:nvPicPr>
          <xdr:cNvPr id="6" name="Image 5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33430" y="104776"/>
            <a:ext cx="1295396" cy="333779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grpSp>
        <xdr:nvGrpSpPr>
          <xdr:cNvPr id="8" name="Groupe 7"/>
          <xdr:cNvGrpSpPr/>
        </xdr:nvGrpSpPr>
        <xdr:grpSpPr>
          <a:xfrm>
            <a:off x="476250" y="586316"/>
            <a:ext cx="1808691" cy="714375"/>
            <a:chOff x="1504803" y="2007427"/>
            <a:chExt cx="1485975" cy="661346"/>
          </a:xfrm>
          <a:solidFill>
            <a:schemeClr val="tx2">
              <a:lumMod val="40000"/>
              <a:lumOff val="60000"/>
            </a:schemeClr>
          </a:solidFill>
        </xdr:grpSpPr>
        <xdr:sp macro="" textlink="">
          <xdr:nvSpPr>
            <xdr:cNvPr id="9" name="Rectangle avec coins arrondis du même côté 8"/>
            <xdr:cNvSpPr/>
          </xdr:nvSpPr>
          <xdr:spPr>
            <a:xfrm rot="16200000">
              <a:off x="1923140" y="1697541"/>
              <a:ext cx="439679" cy="1276353"/>
            </a:xfrm>
            <a:prstGeom prst="round2SameRect">
              <a:avLst>
                <a:gd name="adj1" fmla="val 47815"/>
                <a:gd name="adj2" fmla="val 0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fr-FR" sz="1100"/>
            </a:p>
          </xdr:txBody>
        </xdr:sp>
        <xdr:sp macro="" textlink="">
          <xdr:nvSpPr>
            <xdr:cNvPr id="10" name="Forme libre 9"/>
            <xdr:cNvSpPr/>
          </xdr:nvSpPr>
          <xdr:spPr>
            <a:xfrm>
              <a:off x="2781156" y="2007427"/>
              <a:ext cx="209622" cy="661346"/>
            </a:xfrm>
            <a:custGeom>
              <a:avLst/>
              <a:gdLst>
                <a:gd name="connsiteX0" fmla="*/ 94602 w 209622"/>
                <a:gd name="connsiteY0" fmla="*/ 0 h 661346"/>
                <a:gd name="connsiteX1" fmla="*/ 209622 w 209622"/>
                <a:gd name="connsiteY1" fmla="*/ 0 h 661346"/>
                <a:gd name="connsiteX2" fmla="*/ 209622 w 209622"/>
                <a:gd name="connsiteY2" fmla="*/ 661346 h 661346"/>
                <a:gd name="connsiteX3" fmla="*/ 94602 w 209622"/>
                <a:gd name="connsiteY3" fmla="*/ 661346 h 661346"/>
                <a:gd name="connsiteX4" fmla="*/ 0 w 209622"/>
                <a:gd name="connsiteY4" fmla="*/ 566744 h 661346"/>
                <a:gd name="connsiteX5" fmla="*/ 0 w 209622"/>
                <a:gd name="connsiteY5" fmla="*/ 94602 h 661346"/>
                <a:gd name="connsiteX6" fmla="*/ 94602 w 209622"/>
                <a:gd name="connsiteY6" fmla="*/ 0 h 6613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09622" h="661346">
                  <a:moveTo>
                    <a:pt x="94602" y="0"/>
                  </a:moveTo>
                  <a:lnTo>
                    <a:pt x="209622" y="0"/>
                  </a:lnTo>
                  <a:lnTo>
                    <a:pt x="209622" y="661346"/>
                  </a:lnTo>
                  <a:lnTo>
                    <a:pt x="94602" y="661346"/>
                  </a:lnTo>
                  <a:cubicBezTo>
                    <a:pt x="94602" y="609099"/>
                    <a:pt x="52247" y="566744"/>
                    <a:pt x="0" y="566744"/>
                  </a:cubicBezTo>
                  <a:lnTo>
                    <a:pt x="0" y="94602"/>
                  </a:lnTo>
                  <a:cubicBezTo>
                    <a:pt x="52247" y="94602"/>
                    <a:pt x="94602" y="52247"/>
                    <a:pt x="94602" y="0"/>
                  </a:cubicBezTo>
                  <a:close/>
                </a:path>
              </a:pathLst>
            </a:cu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fr-FR"/>
            </a:p>
          </xdr:txBody>
        </xdr:sp>
      </xdr:grpSp>
      <xdr:grpSp>
        <xdr:nvGrpSpPr>
          <xdr:cNvPr id="18" name="Groupe 17"/>
          <xdr:cNvGrpSpPr/>
        </xdr:nvGrpSpPr>
        <xdr:grpSpPr>
          <a:xfrm>
            <a:off x="444501" y="755651"/>
            <a:ext cx="1971675" cy="2956984"/>
            <a:chOff x="444501" y="755651"/>
            <a:chExt cx="1971675" cy="2956984"/>
          </a:xfrm>
        </xdr:grpSpPr>
        <xdr:sp macro="" textlink="">
          <xdr:nvSpPr>
            <xdr:cNvPr id="11" name="Rectangle 10">
              <a:hlinkClick xmlns:r="http://schemas.openxmlformats.org/officeDocument/2006/relationships" r:id="rId1"/>
            </xdr:cNvPr>
            <xdr:cNvSpPr/>
          </xdr:nvSpPr>
          <xdr:spPr>
            <a:xfrm>
              <a:off x="444501" y="1474259"/>
              <a:ext cx="1388535" cy="3429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1600" b="1">
                  <a:solidFill>
                    <a:sysClr val="windowText" lastClr="000000"/>
                  </a:solidFill>
                  <a:latin typeface="Bahnschrift SemiBold Condensed" panose="020B0502040204020203" pitchFamily="34" charset="0"/>
                </a:rPr>
                <a:t>Produits</a:t>
              </a:r>
            </a:p>
          </xdr:txBody>
        </xdr:sp>
        <xdr:sp macro="" textlink="">
          <xdr:nvSpPr>
            <xdr:cNvPr id="12" name="Rectangle 11">
              <a:hlinkClick xmlns:r="http://schemas.openxmlformats.org/officeDocument/2006/relationships" r:id="rId3"/>
            </xdr:cNvPr>
            <xdr:cNvSpPr/>
          </xdr:nvSpPr>
          <xdr:spPr>
            <a:xfrm>
              <a:off x="444501" y="2396068"/>
              <a:ext cx="1619250" cy="3429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1600" b="1">
                  <a:solidFill>
                    <a:sysClr val="windowText" lastClr="000000"/>
                  </a:solidFill>
                  <a:latin typeface="Bahnschrift SemiBold Condensed" panose="020B0502040204020203" pitchFamily="34" charset="0"/>
                </a:rPr>
                <a:t>Etat</a:t>
              </a:r>
              <a:r>
                <a:rPr lang="fr-FR" sz="1600" b="1" baseline="0">
                  <a:solidFill>
                    <a:sysClr val="windowText" lastClr="000000"/>
                  </a:solidFill>
                  <a:latin typeface="Bahnschrift SemiBold Condensed" panose="020B0502040204020203" pitchFamily="34" charset="0"/>
                </a:rPr>
                <a:t> de stock</a:t>
              </a:r>
              <a:endParaRPr lang="fr-FR" sz="1600" b="1">
                <a:solidFill>
                  <a:sysClr val="windowText" lastClr="000000"/>
                </a:solidFill>
                <a:latin typeface="Bahnschrift SemiBold Condensed" panose="020B0502040204020203" pitchFamily="34" charset="0"/>
              </a:endParaRPr>
            </a:p>
          </xdr:txBody>
        </xdr:sp>
        <xdr:sp macro="" textlink="">
          <xdr:nvSpPr>
            <xdr:cNvPr id="13" name="Rectangle 12">
              <a:hlinkClick xmlns:r="http://schemas.openxmlformats.org/officeDocument/2006/relationships" r:id="rId4"/>
            </xdr:cNvPr>
            <xdr:cNvSpPr/>
          </xdr:nvSpPr>
          <xdr:spPr>
            <a:xfrm>
              <a:off x="444501" y="1903943"/>
              <a:ext cx="1971675" cy="3429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1600" b="1">
                  <a:solidFill>
                    <a:sysClr val="windowText" lastClr="000000"/>
                  </a:solidFill>
                  <a:latin typeface="Bahnschrift SemiBold Condensed" panose="020B0502040204020203" pitchFamily="34" charset="0"/>
                </a:rPr>
                <a:t>Mouvement de stock</a:t>
              </a:r>
            </a:p>
          </xdr:txBody>
        </xdr:sp>
        <xdr:sp macro="" textlink="">
          <xdr:nvSpPr>
            <xdr:cNvPr id="14" name="Rectangle 13"/>
            <xdr:cNvSpPr/>
          </xdr:nvSpPr>
          <xdr:spPr>
            <a:xfrm>
              <a:off x="444501" y="755651"/>
              <a:ext cx="1121832" cy="3429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1800" b="1">
                  <a:solidFill>
                    <a:sysClr val="windowText" lastClr="000000"/>
                  </a:solidFill>
                  <a:latin typeface="Bahnschrift SemiBold Condensed" panose="020B0502040204020203" pitchFamily="34" charset="0"/>
                </a:rPr>
                <a:t>Dashboard</a:t>
              </a:r>
            </a:p>
          </xdr:txBody>
        </xdr:sp>
        <xdr:sp macro="" textlink="">
          <xdr:nvSpPr>
            <xdr:cNvPr id="15" name="Rectangle 14">
              <a:hlinkClick xmlns:r="http://schemas.openxmlformats.org/officeDocument/2006/relationships" r:id="rId5"/>
            </xdr:cNvPr>
            <xdr:cNvSpPr/>
          </xdr:nvSpPr>
          <xdr:spPr>
            <a:xfrm>
              <a:off x="444501" y="2935818"/>
              <a:ext cx="1471082" cy="3429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1600" b="1">
                  <a:solidFill>
                    <a:sysClr val="windowText" lastClr="000000"/>
                  </a:solidFill>
                  <a:latin typeface="Bahnschrift SemiBold Condensed" panose="020B0502040204020203" pitchFamily="34" charset="0"/>
                </a:rPr>
                <a:t>Fournisseurs</a:t>
              </a:r>
            </a:p>
          </xdr:txBody>
        </xdr:sp>
        <xdr:sp macro="" textlink="">
          <xdr:nvSpPr>
            <xdr:cNvPr id="17" name="Rectangle 16">
              <a:hlinkClick xmlns:r="http://schemas.openxmlformats.org/officeDocument/2006/relationships" r:id="rId6"/>
            </xdr:cNvPr>
            <xdr:cNvSpPr/>
          </xdr:nvSpPr>
          <xdr:spPr>
            <a:xfrm>
              <a:off x="444501" y="3369735"/>
              <a:ext cx="1354666" cy="3429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1600" b="1">
                  <a:solidFill>
                    <a:sysClr val="windowText" lastClr="000000"/>
                  </a:solidFill>
                  <a:latin typeface="Bahnschrift SemiBold Condensed" panose="020B0502040204020203" pitchFamily="34" charset="0"/>
                </a:rPr>
                <a:t>Clients</a:t>
              </a:r>
            </a:p>
          </xdr:txBody>
        </xdr:sp>
      </xdr:grpSp>
    </xdr:grpSp>
    <xdr:clientData/>
  </xdr:twoCellAnchor>
  <xdr:twoCellAnchor>
    <xdr:from>
      <xdr:col>6</xdr:col>
      <xdr:colOff>560916</xdr:colOff>
      <xdr:row>0</xdr:row>
      <xdr:rowOff>84667</xdr:rowOff>
    </xdr:from>
    <xdr:to>
      <xdr:col>13</xdr:col>
      <xdr:colOff>730250</xdr:colOff>
      <xdr:row>2</xdr:row>
      <xdr:rowOff>127000</xdr:rowOff>
    </xdr:to>
    <xdr:sp macro="" textlink="">
      <xdr:nvSpPr>
        <xdr:cNvPr id="38" name="ZoneTexte 37"/>
        <xdr:cNvSpPr txBox="1"/>
      </xdr:nvSpPr>
      <xdr:spPr>
        <a:xfrm>
          <a:off x="5132916" y="84667"/>
          <a:ext cx="5503334" cy="423333"/>
        </a:xfrm>
        <a:prstGeom prst="rect">
          <a:avLst/>
        </a:prstGeom>
        <a:noFill/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SUIVI</a:t>
          </a:r>
          <a:r>
            <a:rPr lang="fr-FR" sz="18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STOCK MATIERE PREMIERE ET PRODUITS FINIS</a:t>
          </a:r>
          <a:endParaRPr lang="fr-FR" sz="1800" b="1">
            <a:effectLst/>
          </a:endParaRPr>
        </a:p>
        <a:p>
          <a:endParaRPr lang="fr-FR" sz="1100"/>
        </a:p>
      </xdr:txBody>
    </xdr:sp>
    <xdr:clientData/>
  </xdr:twoCellAnchor>
  <xdr:twoCellAnchor editAs="oneCell">
    <xdr:from>
      <xdr:col>14</xdr:col>
      <xdr:colOff>285750</xdr:colOff>
      <xdr:row>0</xdr:row>
      <xdr:rowOff>0</xdr:rowOff>
    </xdr:from>
    <xdr:to>
      <xdr:col>16</xdr:col>
      <xdr:colOff>120769</xdr:colOff>
      <xdr:row>3</xdr:row>
      <xdr:rowOff>91030</xdr:rowOff>
    </xdr:to>
    <xdr:pic>
      <xdr:nvPicPr>
        <xdr:cNvPr id="41" name="Image 40" descr="images-7.jpg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53750" y="0"/>
          <a:ext cx="1359019" cy="66253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solidFill>
            <a:schemeClr val="accent1">
              <a:lumMod val="50000"/>
            </a:schemeClr>
          </a:solidFill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>
    <xdr:from>
      <xdr:col>3</xdr:col>
      <xdr:colOff>84668</xdr:colOff>
      <xdr:row>4</xdr:row>
      <xdr:rowOff>31749</xdr:rowOff>
    </xdr:from>
    <xdr:to>
      <xdr:col>8</xdr:col>
      <xdr:colOff>613834</xdr:colOff>
      <xdr:row>15</xdr:row>
      <xdr:rowOff>148166</xdr:rowOff>
    </xdr:to>
    <xdr:graphicFrame macro="">
      <xdr:nvGraphicFramePr>
        <xdr:cNvPr id="23" name="Graphique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723636</xdr:colOff>
      <xdr:row>4</xdr:row>
      <xdr:rowOff>21167</xdr:rowOff>
    </xdr:from>
    <xdr:to>
      <xdr:col>15</xdr:col>
      <xdr:colOff>631031</xdr:colOff>
      <xdr:row>16</xdr:row>
      <xdr:rowOff>10583</xdr:rowOff>
    </xdr:to>
    <xdr:graphicFrame macro="">
      <xdr:nvGraphicFramePr>
        <xdr:cNvPr id="24" name="Graphique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15</xdr:col>
      <xdr:colOff>669396</xdr:colOff>
      <xdr:row>15</xdr:row>
      <xdr:rowOff>18523</xdr:rowOff>
    </xdr:from>
    <xdr:to>
      <xdr:col>17</xdr:col>
      <xdr:colOff>478896</xdr:colOff>
      <xdr:row>21</xdr:row>
      <xdr:rowOff>18522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Nom client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99396" y="2876023"/>
              <a:ext cx="1333500" cy="11429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714373</xdr:colOff>
      <xdr:row>20</xdr:row>
      <xdr:rowOff>146845</xdr:rowOff>
    </xdr:from>
    <xdr:to>
      <xdr:col>17</xdr:col>
      <xdr:colOff>502707</xdr:colOff>
      <xdr:row>27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Nom Fournisseu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Fourniss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44373" y="3956845"/>
              <a:ext cx="1312334" cy="12104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3</xdr:col>
      <xdr:colOff>105833</xdr:colOff>
      <xdr:row>16</xdr:row>
      <xdr:rowOff>10583</xdr:rowOff>
    </xdr:from>
    <xdr:to>
      <xdr:col>8</xdr:col>
      <xdr:colOff>645583</xdr:colOff>
      <xdr:row>28</xdr:row>
      <xdr:rowOff>142875</xdr:rowOff>
    </xdr:to>
    <xdr:graphicFrame macro="">
      <xdr:nvGraphicFramePr>
        <xdr:cNvPr id="29" name="Graphique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17</xdr:col>
      <xdr:colOff>582083</xdr:colOff>
      <xdr:row>19</xdr:row>
      <xdr:rowOff>95250</xdr:rowOff>
    </xdr:from>
    <xdr:to>
      <xdr:col>19</xdr:col>
      <xdr:colOff>433916</xdr:colOff>
      <xdr:row>27</xdr:row>
      <xdr:rowOff>23813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Nom Magasi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Magasi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36083" y="3714750"/>
              <a:ext cx="1375833" cy="1452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8</xdr:col>
      <xdr:colOff>709081</xdr:colOff>
      <xdr:row>16</xdr:row>
      <xdr:rowOff>31750</xdr:rowOff>
    </xdr:from>
    <xdr:to>
      <xdr:col>15</xdr:col>
      <xdr:colOff>613833</xdr:colOff>
      <xdr:row>28</xdr:row>
      <xdr:rowOff>166687</xdr:rowOff>
    </xdr:to>
    <xdr:graphicFrame macro="">
      <xdr:nvGraphicFramePr>
        <xdr:cNvPr id="31" name="Graphique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16</xdr:col>
      <xdr:colOff>95250</xdr:colOff>
      <xdr:row>4</xdr:row>
      <xdr:rowOff>71438</xdr:rowOff>
    </xdr:from>
    <xdr:to>
      <xdr:col>20</xdr:col>
      <xdr:colOff>381000</xdr:colOff>
      <xdr:row>11</xdr:row>
      <xdr:rowOff>109538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2" name="Da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50" y="833438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ou version ultérieure. Ne pas déplacer ni redimensionner.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746760</xdr:colOff>
      <xdr:row>1</xdr:row>
      <xdr:rowOff>36195</xdr:rowOff>
    </xdr:from>
    <xdr:to>
      <xdr:col>51</xdr:col>
      <xdr:colOff>381000</xdr:colOff>
      <xdr:row>6</xdr:row>
      <xdr:rowOff>112395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38C6ABE1-28F0-E7FB-BB6D-BB140669E16C}"/>
            </a:ext>
          </a:extLst>
        </xdr:cNvPr>
        <xdr:cNvSpPr txBox="1"/>
      </xdr:nvSpPr>
      <xdr:spPr>
        <a:xfrm>
          <a:off x="32465010" y="226695"/>
          <a:ext cx="5730240" cy="1266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M" sz="1100"/>
            <a:t>=SI($AF$4="*";SOMMEPROD((Liste_TypeOrdre="Reception")*(Liste_ArticlesAchetesEtVendus=AI3)*Quantités)-SOMMEPROD((Liste_TypeOrdre="Transfert")*(Liste_ArticlesAchetesEtVendus=AI3)*Quantités);SOMMEPROD((Liste_AllantA=$AF$4)*(Liste_ArticlesAchetesEtVendus=AI3)*Quantités)-SOMMEPROD((Liste_VenantDe=$AF$4)*(Liste_ArticlesAchetesEtVendus=AI3)*Quantités))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85725</xdr:rowOff>
    </xdr:from>
    <xdr:to>
      <xdr:col>2</xdr:col>
      <xdr:colOff>438150</xdr:colOff>
      <xdr:row>1</xdr:row>
      <xdr:rowOff>152400</xdr:rowOff>
    </xdr:to>
    <xdr:sp macro="" textlink="">
      <xdr:nvSpPr>
        <xdr:cNvPr id="3" name="Rectangle à coins arrondis 2"/>
        <xdr:cNvSpPr/>
      </xdr:nvSpPr>
      <xdr:spPr>
        <a:xfrm>
          <a:off x="47625" y="85725"/>
          <a:ext cx="341947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Gestion de reception et transfert</a:t>
          </a:r>
        </a:p>
      </xdr:txBody>
    </xdr:sp>
    <xdr:clientData/>
  </xdr:twoCellAnchor>
  <xdr:twoCellAnchor>
    <xdr:from>
      <xdr:col>4</xdr:col>
      <xdr:colOff>0</xdr:colOff>
      <xdr:row>0</xdr:row>
      <xdr:rowOff>85725</xdr:rowOff>
    </xdr:from>
    <xdr:to>
      <xdr:col>6</xdr:col>
      <xdr:colOff>1657350</xdr:colOff>
      <xdr:row>1</xdr:row>
      <xdr:rowOff>152400</xdr:rowOff>
    </xdr:to>
    <xdr:sp macro="" textlink="">
      <xdr:nvSpPr>
        <xdr:cNvPr id="4" name="Rectangle à coins arrondis 3"/>
        <xdr:cNvSpPr/>
      </xdr:nvSpPr>
      <xdr:spPr>
        <a:xfrm>
          <a:off x="4324350" y="85725"/>
          <a:ext cx="482917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200" b="1"/>
            <a:t>Gestion de quantité</a:t>
          </a:r>
          <a:r>
            <a:rPr lang="fr-FR" sz="1200" b="1" baseline="0"/>
            <a:t> de matière ou article acheter et vendus</a:t>
          </a:r>
          <a:endParaRPr lang="fr-FR" sz="12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" refreshedDate="45070.894619560182" createdVersion="6" refreshedVersion="6" minRefreshableVersion="3" recordCount="8">
  <cacheSource type="worksheet">
    <worksheetSource name="Tableau7"/>
  </cacheSource>
  <cacheFields count="5">
    <cacheField name="ID Ajustement" numFmtId="0">
      <sharedItems containsSemiMixedTypes="0" containsString="0" containsNumber="1" containsInteger="1" minValue="1" maxValue="8"/>
    </cacheField>
    <cacheField name="Date" numFmtId="14">
      <sharedItems containsSemiMixedTypes="0" containsNonDate="0" containsDate="1" containsString="0" minDate="2022-05-24T00:00:00" maxDate="2023-05-24T00:00:00" count="5">
        <d v="2022-05-24T00:00:00"/>
        <d v="2023-05-17T00:00:00"/>
        <d v="2023-05-19T00:00:00"/>
        <d v="2023-05-22T00:00:00"/>
        <d v="2023-05-23T00:00:00"/>
      </sharedItems>
      <fieldGroup par="4" base="1">
        <rangePr groupBy="months" startDate="2022-05-24T00:00:00" endDate="2023-05-24T00:00:00"/>
        <groupItems count="14">
          <s v="&lt;24/05/2022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4/05/2023"/>
        </groupItems>
      </fieldGroup>
    </cacheField>
    <cacheField name="Montant" numFmtId="0">
      <sharedItems containsSemiMixedTypes="0" containsString="0" containsNumber="1" minValue="-1305276" maxValue="488386.80000000005"/>
    </cacheField>
    <cacheField name="Trimestres" numFmtId="0" databaseField="0">
      <fieldGroup base="1">
        <rangePr groupBy="quarters" startDate="2022-05-24T00:00:00" endDate="2023-05-24T00:00:00"/>
        <groupItems count="6">
          <s v="&lt;24/05/2022"/>
          <s v="Trimestre1"/>
          <s v="Trimestre2"/>
          <s v="Trimestre3"/>
          <s v="Trimestre4"/>
          <s v="&gt;24/05/2023"/>
        </groupItems>
      </fieldGroup>
    </cacheField>
    <cacheField name="Années" numFmtId="0" databaseField="0">
      <fieldGroup base="1">
        <rangePr groupBy="years" startDate="2022-05-24T00:00:00" endDate="2023-05-24T00:00:00"/>
        <groupItems count="4">
          <s v="&lt;24/05/2022"/>
          <s v="2022"/>
          <s v="2023"/>
          <s v="&gt;24/05/2023"/>
        </groupItems>
      </fieldGroup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c" refreshedDate="45070.894619907405" createdVersion="6" refreshedVersion="6" minRefreshableVersion="3" recordCount="5">
  <cacheSource type="worksheet">
    <worksheetSource name="Tableau5"/>
  </cacheSource>
  <cacheFields count="9">
    <cacheField name="ID" numFmtId="0">
      <sharedItems containsSemiMixedTypes="0" containsString="0" containsNumber="1" containsInteger="1" minValue="1" maxValue="5"/>
    </cacheField>
    <cacheField name="Nom Fournisseur" numFmtId="0">
      <sharedItems count="5">
        <s v="Fournisseur MP1"/>
        <s v="Fournisseur MP2"/>
        <s v="Fournisseur PCS"/>
        <s v="Fournisseur MP3"/>
        <s v="Fournisseur Delta prefa"/>
      </sharedItems>
    </cacheField>
    <cacheField name="Téléphone" numFmtId="0">
      <sharedItems containsSemiMixedTypes="0" containsString="0" containsNumber="1" containsInteger="1" minValue="623498746" maxValue="623498746"/>
    </cacheField>
    <cacheField name="Email" numFmtId="0">
      <sharedItems/>
    </cacheField>
    <cacheField name="Contact" numFmtId="0">
      <sharedItems count="5">
        <s v="Agent gema"/>
        <s v="Agent gema1"/>
        <s v="Agent gema2"/>
        <s v="Agent gema3"/>
        <s v="Agent gema4"/>
      </sharedItems>
    </cacheField>
    <cacheField name="Adresse" numFmtId="0">
      <sharedItems/>
    </cacheField>
    <cacheField name="Ville" numFmtId="0">
      <sharedItems/>
    </cacheField>
    <cacheField name="Etat" numFmtId="0">
      <sharedItems/>
    </cacheField>
    <cacheField name="BP" numFmtId="0">
      <sharedItems containsSemiMixedTypes="0" containsString="0" containsNumber="1" containsInteger="1" minValue="45841" maxValue="4584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c" refreshedDate="45070.894620486113" createdVersion="6" refreshedVersion="6" minRefreshableVersion="3" recordCount="4">
  <cacheSource type="worksheet">
    <worksheetSource name="Tableau4"/>
  </cacheSource>
  <cacheFields count="6">
    <cacheField name="Nom Magasin" numFmtId="0">
      <sharedItems count="4">
        <s v="Magasin PCS"/>
        <s v="Magasin MP Ext"/>
        <s v="Magasin PF"/>
        <s v="Site de production"/>
      </sharedItems>
    </cacheField>
    <cacheField name="Adresse" numFmtId="0">
      <sharedItems/>
    </cacheField>
    <cacheField name="Ville" numFmtId="0">
      <sharedItems/>
    </cacheField>
    <cacheField name="Zone" numFmtId="0">
      <sharedItems count="2">
        <s v="interieur"/>
        <s v="Exterieur"/>
      </sharedItems>
    </cacheField>
    <cacheField name="BP" numFmtId="0">
      <sharedItems containsSemiMixedTypes="0" containsString="0" containsNumber="1" containsInteger="1" minValue="90005" maxValue="91846"/>
    </cacheField>
    <cacheField name="Pays " numFmtId="0">
      <sharedItems/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c" refreshedDate="45070.894620833336" createdVersion="6" refreshedVersion="6" minRefreshableVersion="3" recordCount="20">
  <cacheSource type="worksheet">
    <worksheetSource name="Tableau8"/>
  </cacheSource>
  <cacheFields count="11">
    <cacheField name="1" numFmtId="0">
      <sharedItems containsSemiMixedTypes="0" containsString="0" containsNumber="1" containsInteger="1" minValue="1" maxValue="20"/>
    </cacheField>
    <cacheField name="Type ordre" numFmtId="0">
      <sharedItems count="2">
        <s v="Reception"/>
        <s v="Transfert"/>
      </sharedItems>
    </cacheField>
    <cacheField name="Date" numFmtId="14">
      <sharedItems containsSemiMixedTypes="0" containsNonDate="0" containsDate="1" containsString="0" minDate="2022-05-24T00:00:00" maxDate="2023-05-24T00:00:00" count="6">
        <d v="2022-05-24T00:00:00"/>
        <d v="2023-05-17T00:00:00"/>
        <d v="2023-05-18T00:00:00"/>
        <d v="2023-05-19T00:00:00"/>
        <d v="2023-05-22T00:00:00"/>
        <d v="2023-05-23T00:00:00"/>
      </sharedItems>
      <fieldGroup par="10" base="2">
        <rangePr groupBy="months" startDate="2022-05-24T00:00:00" endDate="2023-05-24T00:00:00"/>
        <groupItems count="14">
          <s v="&lt;24/05/2022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4/05/2023"/>
        </groupItems>
      </fieldGroup>
    </cacheField>
    <cacheField name="Temps" numFmtId="164">
      <sharedItems containsSemiMixedTypes="0" containsNonDate="0" containsDate="1" containsString="0" minDate="1899-12-30T10:27:43" maxDate="1899-12-30T16:07:40"/>
    </cacheField>
    <cacheField name="Fsseur/Client" numFmtId="0">
      <sharedItems/>
    </cacheField>
    <cacheField name="Du Fsseur ou Magasin" numFmtId="0">
      <sharedItems/>
    </cacheField>
    <cacheField name="Magasin de réception" numFmtId="0">
      <sharedItems/>
    </cacheField>
    <cacheField name="Chauffeur" numFmtId="0">
      <sharedItems/>
    </cacheField>
    <cacheField name="Camion" numFmtId="0">
      <sharedItems/>
    </cacheField>
    <cacheField name="Trimestres" numFmtId="0" databaseField="0">
      <fieldGroup base="2">
        <rangePr groupBy="quarters" startDate="2022-05-24T00:00:00" endDate="2023-05-24T00:00:00"/>
        <groupItems count="6">
          <s v="&lt;24/05/2022"/>
          <s v="Trimestre1"/>
          <s v="Trimestre2"/>
          <s v="Trimestre3"/>
          <s v="Trimestre4"/>
          <s v="&gt;24/05/2023"/>
        </groupItems>
      </fieldGroup>
    </cacheField>
    <cacheField name="Années" numFmtId="0" databaseField="0">
      <fieldGroup base="2">
        <rangePr groupBy="years" startDate="2022-05-24T00:00:00" endDate="2023-05-24T00:00:00"/>
        <groupItems count="4">
          <s v="&lt;24/05/2022"/>
          <s v="2022"/>
          <s v="2023"/>
          <s v="&gt;24/05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pc" refreshedDate="45070.894621064814" createdVersion="6" refreshedVersion="6" minRefreshableVersion="3" recordCount="35">
  <cacheSource type="worksheet">
    <worksheetSource name="Tableau9"/>
  </cacheSource>
  <cacheFields count="13">
    <cacheField name="ID Article" numFmtId="0">
      <sharedItems containsSemiMixedTypes="0" containsString="0" containsNumber="1" containsInteger="1" minValue="1" maxValue="35"/>
    </cacheField>
    <cacheField name="Nom article" numFmtId="0">
      <sharedItems count="34">
        <s v="RESINE"/>
        <s v="La CIRE"/>
        <s v="DIOXYDE DE TITANE"/>
        <s v="NOIR DE CARBONE"/>
        <s v="STABILISANT PVC LFR6035"/>
        <s v="STABILISANT PVC  LPM88"/>
        <s v="PIGEMENT ORANGE"/>
        <s v="PEHD PE100"/>
        <s v="COLORANT BLEU LB"/>
        <s v="COLORANT BLEU "/>
        <s v="COLORANT NOIR "/>
        <s v="CHARGE DOUBLE PAROI MICRO MB"/>
        <s v="SOUFLAGE NOIR"/>
        <s v="GRAINS PE INJECTION"/>
        <s v="SOUFLAGE BLEU"/>
        <s v="GOUTE A GOUTE"/>
        <s v="SOUFLAGE NOIR LB PN 16"/>
        <s v="SOUFLAGE NOIR LB PN 6"/>
        <s v="GRAINS TRANSPARANT"/>
        <s v="MELANGE NOIRE DP"/>
        <s v="MELANGE BLEU DP"/>
        <s v="CHARGE PVC"/>
        <s v="STABILISANT KIMSTAB "/>
        <s v="STABILISANT PVC AKROBAN"/>
        <s v="MICRONISE PVC ASSAIN."/>
        <s v="MICRONISE PVC PRESSION"/>
        <s v="MELANGE PVC PRESSION"/>
        <s v="PE-ASS-300"/>
        <s v="PE-ASS-DN200"/>
        <s v="PE-ASS-DN400"/>
        <s v="PE-ASS-DN500"/>
        <s v="PVC-ASS-DN160"/>
        <s v="PVC-ASS-DN200"/>
        <s v="PVC-DN315"/>
      </sharedItems>
    </cacheField>
    <cacheField name="Type" numFmtId="0">
      <sharedItems/>
    </cacheField>
    <cacheField name="Code Article" numFmtId="0">
      <sharedItems containsBlank="1"/>
    </cacheField>
    <cacheField name="UOM" numFmtId="0">
      <sharedItems containsBlank="1"/>
    </cacheField>
    <cacheField name="Categorie" numFmtId="0">
      <sharedItems/>
    </cacheField>
    <cacheField name="Description Achat" numFmtId="0">
      <sharedItems/>
    </cacheField>
    <cacheField name="Description vente" numFmtId="0">
      <sharedItems/>
    </cacheField>
    <cacheField name="Qté achetée min" numFmtId="0">
      <sharedItems containsString="0" containsBlank="1" containsNumber="1" minValue="0" maxValue="184500"/>
    </cacheField>
    <cacheField name="Qté vendue min" numFmtId="0">
      <sharedItems containsSemiMixedTypes="0" containsString="0" containsNumber="1" containsInteger="1" minValue="1" maxValue="2"/>
    </cacheField>
    <cacheField name="Cout unitaire" numFmtId="0">
      <sharedItems containsSemiMixedTypes="0" containsString="0" containsNumber="1" minValue="0" maxValue="275904"/>
    </cacheField>
    <cacheField name="Prix de vente" numFmtId="0">
      <sharedItems containsString="0" containsBlank="1" containsNumber="1" containsInteger="1" minValue="54" maxValue="275"/>
    </cacheField>
    <cacheField name="Stock minimum" numFmtId="0">
      <sharedItems containsString="0" containsBlank="1" containsNumber="1" containsInteger="1" minValue="0" maxValue="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pc" refreshedDate="45070.894621180552" createdVersion="6" refreshedVersion="6" minRefreshableVersion="3" recordCount="5">
  <cacheSource type="worksheet">
    <worksheetSource name="Tableau6"/>
  </cacheSource>
  <cacheFields count="8">
    <cacheField name="ID client" numFmtId="0">
      <sharedItems containsSemiMixedTypes="0" containsString="0" containsNumber="1" containsInteger="1" minValue="1" maxValue="5"/>
    </cacheField>
    <cacheField name="Nom client" numFmtId="0">
      <sharedItems count="5">
        <s v="client 1"/>
        <s v="client 2"/>
        <s v="client 3"/>
        <s v="client 4"/>
        <s v="client 5"/>
      </sharedItems>
    </cacheField>
    <cacheField name="Adresse" numFmtId="0">
      <sharedItems/>
    </cacheField>
    <cacheField name="Ville" numFmtId="0">
      <sharedItems count="4">
        <s v="Marrakech"/>
        <s v="casablanca"/>
        <s v="rabat"/>
        <s v="agadir"/>
      </sharedItems>
    </cacheField>
    <cacheField name="Region" numFmtId="0">
      <sharedItems/>
    </cacheField>
    <cacheField name="BP" numFmtId="0">
      <sharedItems containsSemiMixedTypes="0" containsString="0" containsNumber="1" containsInteger="1" minValue="35341" maxValue="95515"/>
    </cacheField>
    <cacheField name="Téléphone" numFmtId="0">
      <sharedItems containsSemiMixedTypes="0" containsString="0" containsNumber="1" containsInteger="1" minValue="3286147299" maxValue="3617832508"/>
    </cacheField>
    <cacheField name="Email" numFmtId="0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n v="1"/>
    <x v="0"/>
    <n v="0"/>
  </r>
  <r>
    <n v="2"/>
    <x v="0"/>
    <n v="78"/>
  </r>
  <r>
    <n v="3"/>
    <x v="1"/>
    <n v="0"/>
  </r>
  <r>
    <n v="4"/>
    <x v="2"/>
    <n v="84"/>
  </r>
  <r>
    <n v="5"/>
    <x v="3"/>
    <n v="-1305276"/>
  </r>
  <r>
    <n v="6"/>
    <x v="3"/>
    <n v="-1251576"/>
  </r>
  <r>
    <n v="7"/>
    <x v="3"/>
    <n v="488386.80000000005"/>
  </r>
  <r>
    <n v="8"/>
    <x v="4"/>
    <n v="-36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">
  <r>
    <n v="1"/>
    <x v="0"/>
    <n v="623498746"/>
    <s v="F@gmail.com"/>
    <x v="0"/>
    <s v="Marrakech harbil Z1"/>
    <s v="Marrakech"/>
    <s v="Maroc"/>
    <n v="45841"/>
  </r>
  <r>
    <n v="2"/>
    <x v="1"/>
    <n v="623498746"/>
    <s v="F@gmail.com"/>
    <x v="1"/>
    <s v="Marrakech harbil Z2"/>
    <s v="Marrakech"/>
    <s v="Maroc"/>
    <n v="45841"/>
  </r>
  <r>
    <n v="3"/>
    <x v="2"/>
    <n v="623498746"/>
    <s v="F@gmail.com"/>
    <x v="2"/>
    <s v="Marrakech harbil Z3"/>
    <s v="Marrakech"/>
    <s v="Maroc"/>
    <n v="45841"/>
  </r>
  <r>
    <n v="4"/>
    <x v="3"/>
    <n v="623498746"/>
    <s v="F@gmail.com"/>
    <x v="3"/>
    <s v="Marrakech harbil Z4"/>
    <s v="Marrakech"/>
    <s v="Maroc"/>
    <n v="45841"/>
  </r>
  <r>
    <n v="5"/>
    <x v="4"/>
    <n v="623498746"/>
    <s v="F@gmail.com"/>
    <x v="4"/>
    <s v="Marrakech harbil Z5"/>
    <s v="Marrakech"/>
    <s v="Maroc"/>
    <n v="4584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">
  <r>
    <x v="0"/>
    <s v="local, gemaplast"/>
    <s v="Marrakech"/>
    <x v="0"/>
    <n v="90005"/>
    <s v="Maroc"/>
  </r>
  <r>
    <x v="1"/>
    <s v="local, gemaplast"/>
    <s v="Marrakech"/>
    <x v="1"/>
    <n v="90450"/>
    <s v="Maroc"/>
  </r>
  <r>
    <x v="2"/>
    <s v="local, gemaplast"/>
    <s v="Marrakech"/>
    <x v="1"/>
    <n v="91346"/>
    <s v="Maroc"/>
  </r>
  <r>
    <x v="3"/>
    <s v="local, gemaplast"/>
    <s v="Marrakech"/>
    <x v="0"/>
    <n v="91846"/>
    <s v="Maroc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0">
  <r>
    <n v="1"/>
    <x v="0"/>
    <x v="0"/>
    <d v="1899-12-30T16:06:24"/>
    <s v="Fournisseur"/>
    <s v="Bettys Electronics"/>
    <s v="Magasin MP Ext"/>
    <s v="Waid"/>
    <s v="Chassis Cab"/>
  </r>
  <r>
    <n v="2"/>
    <x v="0"/>
    <x v="0"/>
    <d v="1899-12-30T16:07:00"/>
    <s v="Fournisseur"/>
    <s v="LTD Parts"/>
    <s v="Magasin PCS"/>
    <s v="Waid"/>
    <s v="Chassis Cab"/>
  </r>
  <r>
    <n v="3"/>
    <x v="0"/>
    <x v="0"/>
    <d v="1899-12-30T16:07:40"/>
    <s v="Fournisseur"/>
    <s v="Motherboards Inc."/>
    <s v="Magasin PCS"/>
    <s v="Waid"/>
    <s v="Mercedes Minivan"/>
  </r>
  <r>
    <n v="4"/>
    <x v="0"/>
    <x v="1"/>
    <d v="1899-12-30T12:45:06"/>
    <s v="Fournisseur"/>
    <s v="Fournisseur MP1"/>
    <s v="Magasin MP Ext"/>
    <s v="Waid"/>
    <s v="4 roue"/>
  </r>
  <r>
    <n v="5"/>
    <x v="0"/>
    <x v="1"/>
    <d v="1899-12-30T12:45:06"/>
    <s v="Fournisseur"/>
    <s v="Fournisseur MP1"/>
    <s v="Magasin MP Ext"/>
    <s v="Waid"/>
    <s v="4 roue"/>
  </r>
  <r>
    <n v="6"/>
    <x v="0"/>
    <x v="1"/>
    <d v="1899-12-30T13:26:04"/>
    <s v="Fournisseur"/>
    <s v="Fournisseur MP1"/>
    <s v="Magasin MP Ext"/>
    <s v="Waid"/>
    <s v="Remorque"/>
  </r>
  <r>
    <n v="7"/>
    <x v="0"/>
    <x v="1"/>
    <d v="1899-12-30T13:28:14"/>
    <s v="Magasin"/>
    <s v="Magasin MP Ext"/>
    <s v="Magasin PF"/>
    <s v="Lhosine"/>
    <s v="5 roue"/>
  </r>
  <r>
    <n v="8"/>
    <x v="1"/>
    <x v="1"/>
    <d v="1899-12-30T12:35:38"/>
    <s v="Magasin"/>
    <s v="Magasin MP Ext"/>
    <s v="Site de production"/>
    <s v="Lhosine"/>
    <s v="4 roue"/>
  </r>
  <r>
    <n v="9"/>
    <x v="1"/>
    <x v="1"/>
    <d v="1899-12-30T15:19:40"/>
    <s v="Magasin"/>
    <s v="Magasin PF"/>
    <s v="client 2"/>
    <s v="Birahim"/>
    <s v="Remorque"/>
  </r>
  <r>
    <n v="10"/>
    <x v="0"/>
    <x v="1"/>
    <d v="1899-12-30T15:34:47"/>
    <s v="Magasin"/>
    <s v="Magasin MP Ext"/>
    <s v="Site de production"/>
    <s v="Mohamed"/>
    <s v="6 roue"/>
  </r>
  <r>
    <n v="11"/>
    <x v="0"/>
    <x v="2"/>
    <d v="1899-12-30T11:25:03"/>
    <s v="Magasin"/>
    <s v="Magasin MP Ext"/>
    <s v="Site de production"/>
    <s v="Lhosine"/>
    <s v="Chariot elevateur"/>
  </r>
  <r>
    <n v="12"/>
    <x v="0"/>
    <x v="2"/>
    <d v="1899-12-30T11:25:03"/>
    <s v="Magasin"/>
    <s v="Magasin PCS"/>
    <s v="Site de production"/>
    <s v="Lhosine"/>
    <s v="Chariot elevateur"/>
  </r>
  <r>
    <n v="13"/>
    <x v="1"/>
    <x v="2"/>
    <d v="1899-12-30T11:33:49"/>
    <s v="Magasin"/>
    <s v="Site de production"/>
    <s v="Magasin PF"/>
    <s v="Birahim"/>
    <s v="4 roue"/>
  </r>
  <r>
    <n v="14"/>
    <x v="0"/>
    <x v="3"/>
    <d v="1899-12-30T14:02:18"/>
    <s v="Magasin"/>
    <s v="Site de production"/>
    <s v="Magasin PF"/>
    <s v="Waid"/>
    <s v="4 roue"/>
  </r>
  <r>
    <n v="15"/>
    <x v="0"/>
    <x v="3"/>
    <d v="1899-12-30T14:51:54"/>
    <s v="Magasin"/>
    <s v="Magasin PF"/>
    <s v="Magasin MP Ext"/>
    <s v="Lhosine"/>
    <s v="Remorque"/>
  </r>
  <r>
    <n v="16"/>
    <x v="0"/>
    <x v="4"/>
    <d v="1899-12-30T14:22:33"/>
    <s v="Fournisseur"/>
    <s v="Fournisseur MP2"/>
    <s v="Magasin MP Ext"/>
    <s v="Lhosine"/>
    <s v="Remorque"/>
  </r>
  <r>
    <n v="17"/>
    <x v="1"/>
    <x v="4"/>
    <d v="1899-12-30T15:10:10"/>
    <s v="Magasin"/>
    <s v="Site de production"/>
    <s v="Magasin PF"/>
    <s v="Lhosine"/>
    <s v="4 roue"/>
  </r>
  <r>
    <n v="18"/>
    <x v="0"/>
    <x v="4"/>
    <d v="1899-12-30T15:35:50"/>
    <s v="Fournisseur"/>
    <s v="Fournisseur MP2"/>
    <s v="Magasin MP Ext"/>
    <s v="Waid"/>
    <s v="4 roue"/>
  </r>
  <r>
    <n v="19"/>
    <x v="1"/>
    <x v="4"/>
    <d v="1899-12-30T15:37:12"/>
    <s v="Magasin"/>
    <s v="Magasin PF"/>
    <s v="client 1"/>
    <s v="Waid"/>
    <s v="Remorque"/>
  </r>
  <r>
    <n v="20"/>
    <x v="0"/>
    <x v="5"/>
    <d v="1899-12-30T10:27:43"/>
    <s v="Fournisseur"/>
    <s v="Fournisseur PCS"/>
    <s v="Magasin MP Ext"/>
    <s v="Birahim"/>
    <s v="Remorque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5">
  <r>
    <n v="1"/>
    <x v="0"/>
    <s v="MP"/>
    <s v="F4516"/>
    <s v="each"/>
    <s v="MP PVC PRESSION"/>
    <s v="Melangeur"/>
    <s v="Melangeur"/>
    <n v="25200"/>
    <n v="1"/>
    <n v="23.76"/>
    <m/>
    <n v="18"/>
  </r>
  <r>
    <n v="2"/>
    <x v="1"/>
    <s v="MP"/>
    <s v="F4517"/>
    <s v="each"/>
    <s v="MP PVC PRESSION"/>
    <s v="Melangeur"/>
    <s v="Melangeur"/>
    <n v="675"/>
    <n v="1"/>
    <n v="23.76"/>
    <m/>
    <n v="18"/>
  </r>
  <r>
    <n v="3"/>
    <x v="2"/>
    <s v="MP"/>
    <s v="F4518"/>
    <s v="each"/>
    <s v="MP PVC PRESSION"/>
    <s v="Melangeur"/>
    <s v="Melangeur"/>
    <n v="423.5"/>
    <n v="1"/>
    <n v="23.76"/>
    <m/>
    <n v="18"/>
  </r>
  <r>
    <n v="4"/>
    <x v="3"/>
    <s v="MP"/>
    <s v="F4519"/>
    <s v="each"/>
    <s v="MP PVC PRESSION"/>
    <s v="Melangeur"/>
    <s v="Melangeur"/>
    <n v="175"/>
    <n v="1"/>
    <n v="21"/>
    <m/>
    <n v="17"/>
  </r>
  <r>
    <n v="5"/>
    <x v="4"/>
    <s v="MP"/>
    <s v="F4520"/>
    <s v="each"/>
    <s v="MP PVC ASSAINISSEMENT"/>
    <s v="Melangeur"/>
    <s v="Melangeur"/>
    <n v="2225"/>
    <n v="1"/>
    <n v="34.799999999999997"/>
    <m/>
    <n v="15"/>
  </r>
  <r>
    <n v="6"/>
    <x v="5"/>
    <s v="MP"/>
    <s v="F4521"/>
    <s v="each"/>
    <s v="MP PVC ASSAINISSEMENT"/>
    <s v="Melangeur"/>
    <s v="Melangeur"/>
    <n v="200"/>
    <n v="1"/>
    <n v="95.58"/>
    <m/>
    <n v="17"/>
  </r>
  <r>
    <n v="7"/>
    <x v="6"/>
    <s v="MP"/>
    <s v="F4522"/>
    <s v="each"/>
    <s v="MP PVC ASSAINISSEMENT"/>
    <s v="Melangeur"/>
    <s v="Melangeur"/>
    <n v="237.5"/>
    <n v="1"/>
    <n v="150"/>
    <m/>
    <n v="18"/>
  </r>
  <r>
    <n v="8"/>
    <x v="7"/>
    <s v="MP"/>
    <s v="F4523"/>
    <s v="each"/>
    <s v="MP PEHD LB"/>
    <s v="Melangeur"/>
    <s v="Melangeur"/>
    <n v="2875"/>
    <n v="2"/>
    <n v="0"/>
    <m/>
    <n v="22"/>
  </r>
  <r>
    <n v="9"/>
    <x v="8"/>
    <s v="MP"/>
    <s v="F4524"/>
    <s v="each"/>
    <s v="MP PEHD LB"/>
    <s v="Melangeur"/>
    <s v="Melangeur"/>
    <n v="387.5"/>
    <n v="1"/>
    <n v="57.6"/>
    <m/>
    <n v="8"/>
  </r>
  <r>
    <n v="10"/>
    <x v="9"/>
    <s v="MP"/>
    <s v="F54584"/>
    <s v="each"/>
    <s v="MP PEHD LB"/>
    <s v="Melangeur"/>
    <s v="Melangeur"/>
    <n v="1775"/>
    <n v="1"/>
    <n v="57.6"/>
    <m/>
    <n v="2"/>
  </r>
  <r>
    <n v="11"/>
    <x v="8"/>
    <s v="MP"/>
    <s v="F4515"/>
    <s v="each"/>
    <s v="MP PEHD LB"/>
    <s v="Melangeur"/>
    <s v="Melangeur"/>
    <n v="62.5"/>
    <n v="1"/>
    <n v="57.6"/>
    <m/>
    <n v="18"/>
  </r>
  <r>
    <n v="12"/>
    <x v="10"/>
    <s v="MP"/>
    <s v="1D515"/>
    <s v="each"/>
    <s v="MP PEHD LN"/>
    <s v="Melangeur"/>
    <s v="Melangeur"/>
    <n v="1100"/>
    <n v="1"/>
    <n v="57.6"/>
    <m/>
    <n v="8"/>
  </r>
  <r>
    <n v="13"/>
    <x v="11"/>
    <s v="MP"/>
    <s v="1D516"/>
    <s v="each"/>
    <s v="MP PEHD LN"/>
    <s v="Melangeur"/>
    <s v="Melangeur"/>
    <n v="62225"/>
    <n v="1"/>
    <n v="0"/>
    <m/>
    <n v="6"/>
  </r>
  <r>
    <n v="14"/>
    <x v="12"/>
    <s v="MP"/>
    <s v="1D517"/>
    <s v="each"/>
    <s v="MP PEHD LB"/>
    <s v="Melangeur"/>
    <s v="Melangeur"/>
    <n v="7540"/>
    <n v="1"/>
    <n v="12"/>
    <m/>
    <n v="6"/>
  </r>
  <r>
    <n v="15"/>
    <x v="13"/>
    <s v="MP"/>
    <m/>
    <s v="each"/>
    <s v="MP PEHD LB"/>
    <s v="Melangeur"/>
    <s v="Melangeur"/>
    <n v="55180"/>
    <n v="1"/>
    <n v="13.2"/>
    <m/>
    <n v="8"/>
  </r>
  <r>
    <n v="16"/>
    <x v="14"/>
    <s v="MP"/>
    <s v="1D519"/>
    <s v="hour"/>
    <s v="MP PEHD LB"/>
    <s v="Melangeur"/>
    <s v="Melangeur"/>
    <n v="6560"/>
    <n v="1"/>
    <n v="13.2"/>
    <m/>
    <n v="0"/>
  </r>
  <r>
    <n v="17"/>
    <x v="15"/>
    <s v="MP"/>
    <s v="1D520"/>
    <m/>
    <s v="MP PEHD LN"/>
    <s v="Melangeur"/>
    <s v="Melangeur"/>
    <n v="1540"/>
    <n v="1"/>
    <n v="0"/>
    <m/>
    <n v="8"/>
  </r>
  <r>
    <n v="18"/>
    <x v="16"/>
    <s v="MP"/>
    <s v="S48HD1"/>
    <m/>
    <s v="MP PEHD LB"/>
    <s v="Melangeur"/>
    <s v="Melangeur"/>
    <n v="1880"/>
    <n v="1"/>
    <n v="12"/>
    <m/>
    <m/>
  </r>
  <r>
    <n v="19"/>
    <x v="17"/>
    <s v="MP"/>
    <s v="S48HD2"/>
    <m/>
    <s v="MP PEHD LB"/>
    <s v="Melangeur"/>
    <s v="Melangeur"/>
    <n v="0"/>
    <n v="1"/>
    <n v="12"/>
    <m/>
    <m/>
  </r>
  <r>
    <n v="20"/>
    <x v="18"/>
    <s v="MP"/>
    <s v="GT234"/>
    <m/>
    <s v="MP PEHD LB"/>
    <s v="Melangeur"/>
    <s v="Melangeur"/>
    <n v="300"/>
    <n v="1"/>
    <n v="12"/>
    <m/>
    <m/>
  </r>
  <r>
    <n v="21"/>
    <x v="19"/>
    <s v="MP"/>
    <s v="MND23"/>
    <m/>
    <s v="MP PEHD LN"/>
    <s v="Melangeur"/>
    <s v="Melangeur"/>
    <n v="13020"/>
    <n v="1"/>
    <n v="12"/>
    <m/>
    <m/>
  </r>
  <r>
    <n v="22"/>
    <x v="20"/>
    <s v="MP"/>
    <s v="MP23"/>
    <m/>
    <s v="MP PEHD LN"/>
    <s v="Melangeur"/>
    <s v="Melangeur"/>
    <n v="10020"/>
    <n v="1"/>
    <n v="12"/>
    <m/>
    <m/>
  </r>
  <r>
    <n v="23"/>
    <x v="21"/>
    <s v="MP"/>
    <s v="MP24"/>
    <m/>
    <s v="MP PEHD LN"/>
    <s v="Melangeur"/>
    <s v="Melangeur"/>
    <n v="184500"/>
    <n v="1"/>
    <n v="12.3"/>
    <m/>
    <m/>
  </r>
  <r>
    <n v="24"/>
    <x v="22"/>
    <s v="MP"/>
    <s v="ST345"/>
    <m/>
    <s v="MP PVC PRESSION"/>
    <s v="Melangeur"/>
    <s v="Melangeur"/>
    <n v="4650"/>
    <n v="1"/>
    <n v="19.2"/>
    <m/>
    <m/>
  </r>
  <r>
    <n v="25"/>
    <x v="23"/>
    <s v="MP"/>
    <s v="MICRO PVC"/>
    <m/>
    <s v="MP PVC PRESSION"/>
    <s v="Melangeur"/>
    <s v="Melangeur"/>
    <n v="8225"/>
    <n v="1"/>
    <n v="22.5"/>
    <m/>
    <m/>
  </r>
  <r>
    <n v="26"/>
    <x v="24"/>
    <s v="MP"/>
    <s v="MICRO PVC"/>
    <m/>
    <s v="MP PVC ASSAINISSEMENT"/>
    <s v="Melangeur"/>
    <s v="Melangeur"/>
    <n v="1100"/>
    <n v="1"/>
    <n v="10.8"/>
    <m/>
    <m/>
  </r>
  <r>
    <n v="27"/>
    <x v="25"/>
    <s v="MP"/>
    <s v="MICRO PVC"/>
    <m/>
    <s v="MP PVC PRESSION"/>
    <s v="Melangeur"/>
    <s v="Melangeur"/>
    <n v="6060"/>
    <n v="1"/>
    <n v="10.8"/>
    <m/>
    <m/>
  </r>
  <r>
    <n v="28"/>
    <x v="26"/>
    <s v="MP"/>
    <s v="MICRO PVC"/>
    <m/>
    <s v="MP PVC PRESSION"/>
    <s v="Melangeur"/>
    <s v="Melangeur"/>
    <n v="14200"/>
    <n v="1"/>
    <n v="10.8"/>
    <m/>
    <m/>
  </r>
  <r>
    <n v="29"/>
    <x v="27"/>
    <s v="PF"/>
    <s v="PEHD"/>
    <m/>
    <s v="PEHD"/>
    <s v="à vendre"/>
    <s v="à vendre"/>
    <m/>
    <n v="1"/>
    <n v="54000"/>
    <n v="54"/>
    <m/>
  </r>
  <r>
    <n v="30"/>
    <x v="28"/>
    <s v="PF"/>
    <s v="PEHD"/>
    <m/>
    <s v="PEHD"/>
    <s v="à vendre"/>
    <s v="à vendre"/>
    <m/>
    <n v="1"/>
    <n v="95472"/>
    <n v="95"/>
    <m/>
  </r>
  <r>
    <n v="31"/>
    <x v="29"/>
    <s v="PF"/>
    <s v="PEHD"/>
    <m/>
    <s v="PEHD"/>
    <s v="à vendre"/>
    <s v="à vendre"/>
    <m/>
    <n v="1"/>
    <n v="168945.6"/>
    <n v="168"/>
    <m/>
  </r>
  <r>
    <n v="32"/>
    <x v="30"/>
    <s v="PF"/>
    <s v="PEHD"/>
    <m/>
    <s v="PEHD"/>
    <s v="à vendre"/>
    <s v="à vendre"/>
    <m/>
    <n v="1"/>
    <n v="125992.8"/>
    <n v="125"/>
    <m/>
  </r>
  <r>
    <n v="33"/>
    <x v="31"/>
    <s v="PF"/>
    <s v="PVC"/>
    <m/>
    <s v="PVC"/>
    <s v="à vendre"/>
    <s v="à vendre"/>
    <m/>
    <n v="1"/>
    <n v="540"/>
    <n v="54"/>
    <m/>
  </r>
  <r>
    <n v="34"/>
    <x v="32"/>
    <s v="PF"/>
    <s v="PVC"/>
    <m/>
    <s v="PVC"/>
    <s v="à vendre"/>
    <s v="à vendre"/>
    <m/>
    <n v="1"/>
    <n v="141827.76"/>
    <n v="141"/>
    <m/>
  </r>
  <r>
    <n v="35"/>
    <x v="33"/>
    <s v="PF"/>
    <s v="PVC"/>
    <m/>
    <s v="PVC"/>
    <s v="à vendre"/>
    <s v="à vendre"/>
    <m/>
    <n v="1"/>
    <n v="275904"/>
    <n v="275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5">
  <r>
    <n v="1"/>
    <x v="0"/>
    <s v="Habril  p11, marrakech"/>
    <x v="0"/>
    <s v="safi"/>
    <n v="35341"/>
    <n v="3286147299"/>
    <s v="C1@gmail.com"/>
  </r>
  <r>
    <n v="2"/>
    <x v="1"/>
    <s v="casaport  p11, marrakech"/>
    <x v="1"/>
    <s v="casablanca"/>
    <n v="69816"/>
    <n v="3455894869"/>
    <s v="C2@gmail.com"/>
  </r>
  <r>
    <n v="3"/>
    <x v="2"/>
    <s v="ocean  p11, marrakech"/>
    <x v="2"/>
    <s v="rabat"/>
    <n v="57439"/>
    <n v="3488520913"/>
    <s v="C3@gmail.com"/>
  </r>
  <r>
    <n v="4"/>
    <x v="3"/>
    <s v="  p11, marrakech"/>
    <x v="3"/>
    <s v="agadir"/>
    <n v="95515"/>
    <n v="3497730067"/>
    <s v="C4@gmail.com"/>
  </r>
  <r>
    <n v="5"/>
    <x v="4"/>
    <s v="Habril  p11, marrakech"/>
    <x v="0"/>
    <s v="marrakech,safi"/>
    <n v="75119"/>
    <n v="3617832508"/>
    <s v="C5@gmail.com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eau croisé dynamique4" cacheId="100" applyNumberFormats="0" applyBorderFormats="0" applyFontFormats="0" applyPatternFormats="0" applyAlignmentFormats="0" applyWidthHeightFormats="1" dataCaption="Valeurs" updatedVersion="6" minRefreshableVersion="3" useAutoFormatting="1" colGrandTotals="0" itemPrintTitles="1" createdVersion="6" indent="0" outline="1" outlineData="1" multipleFieldFilters="0" chartFormat="5">
  <location ref="Q2:V9" firstHeaderRow="1" firstDataRow="2" firstDataCol="1"/>
  <pivotFields count="9">
    <pivotField showAll="0"/>
    <pivotField axis="axisRow" showAll="0">
      <items count="6">
        <item x="4"/>
        <item x="0"/>
        <item x="1"/>
        <item x="3"/>
        <item x="2"/>
        <item t="default"/>
      </items>
    </pivotField>
    <pivotField showAll="0"/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>
      <x v="4"/>
    </i>
  </colItems>
  <dataFields count="1">
    <dataField name="Nombre de Vill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5" cacheId="104" applyNumberFormats="0" applyBorderFormats="0" applyFontFormats="0" applyPatternFormats="0" applyAlignmentFormats="0" applyWidthHeightFormats="1" dataCaption="Valeurs" updatedVersion="6" minRefreshableVersion="3" useAutoFormatting="1" colGrandTotals="0" itemPrintTitles="1" createdVersion="6" indent="0" outline="1" outlineData="1" multipleFieldFilters="0" chartFormat="7">
  <location ref="Q14:S20" firstHeaderRow="1" firstDataRow="2" firstDataCol="1"/>
  <pivotFields count="6">
    <pivotField axis="axisRow" showAll="0">
      <items count="5">
        <item x="1"/>
        <item x="0"/>
        <item x="2"/>
        <item x="3"/>
        <item t="default"/>
      </items>
    </pivotField>
    <pivotField dataField="1"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2">
    <i>
      <x/>
    </i>
    <i>
      <x v="1"/>
    </i>
  </colItems>
  <dataFields count="1">
    <dataField name="Nombre de Adresse" fld="1" subtotal="count" baseField="0" baseItem="0"/>
  </dataFields>
  <chartFormats count="11"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0"/>
          </reference>
        </references>
      </pivotArea>
    </chartFormat>
    <chartFormat chart="3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0"/>
          </reference>
        </references>
      </pivotArea>
    </chartFormat>
    <chartFormat chart="3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</references>
      </pivotArea>
    </chartFormat>
    <chartFormat chart="3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</references>
      </pivotArea>
    </chartFormat>
    <chartFormat chart="3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1"/>
          </reference>
        </references>
      </pivotArea>
    </chartFormat>
    <chartFormat chart="3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1"/>
          </reference>
        </references>
      </pivotArea>
    </chartFormat>
    <chartFormat chart="3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1"/>
          </reference>
        </references>
      </pivotArea>
    </chartFormat>
    <chartFormat chart="3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3" cacheId="115" applyNumberFormats="0" applyBorderFormats="0" applyFontFormats="0" applyPatternFormats="0" applyAlignmentFormats="0" applyWidthHeightFormats="1" dataCaption="Valeurs" updatedVersion="6" minRefreshableVersion="3" useAutoFormatting="1" colGrandTotals="0" itemPrintTitles="1" createdVersion="6" indent="0" outline="1" outlineData="1" multipleFieldFilters="0">
  <location ref="K2:O9" firstHeaderRow="1" firstDataRow="2" firstDataCol="1"/>
  <pivotFields count="8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Col" showAll="0">
      <items count="5">
        <item x="3"/>
        <item x="1"/>
        <item x="0"/>
        <item x="2"/>
        <item t="default"/>
      </items>
    </pivotField>
    <pivotField dataField="1"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4">
    <i>
      <x/>
    </i>
    <i>
      <x v="1"/>
    </i>
    <i>
      <x v="2"/>
    </i>
    <i>
      <x v="3"/>
    </i>
  </colItems>
  <dataFields count="1">
    <dataField name="Nombre de Region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BGestion" cacheId="11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9">
  <location ref="E3:G10" firstHeaderRow="0" firstDataRow="1" firstDataCol="1"/>
  <pivotFields count="13">
    <pivotField showAll="0"/>
    <pivotField axis="axisRow" showAll="0">
      <items count="35">
        <item x="11"/>
        <item x="21"/>
        <item h="1" x="9"/>
        <item h="1" x="8"/>
        <item h="1" x="10"/>
        <item h="1" x="2"/>
        <item h="1" x="15"/>
        <item h="1" x="13"/>
        <item h="1" x="18"/>
        <item h="1" x="1"/>
        <item h="1" x="20"/>
        <item h="1" x="19"/>
        <item h="1" x="26"/>
        <item h="1" x="24"/>
        <item h="1" x="25"/>
        <item h="1" x="3"/>
        <item h="1" x="27"/>
        <item h="1" x="28"/>
        <item h="1" x="29"/>
        <item h="1" x="30"/>
        <item h="1" x="7"/>
        <item h="1" x="6"/>
        <item x="31"/>
        <item x="32"/>
        <item x="33"/>
        <item h="1" x="0"/>
        <item h="1" x="14"/>
        <item x="12"/>
        <item h="1" x="16"/>
        <item h="1" x="17"/>
        <item h="1" x="22"/>
        <item h="1" x="5"/>
        <item h="1" x="2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</pivotFields>
  <rowFields count="1">
    <field x="1"/>
  </rowFields>
  <rowItems count="7">
    <i>
      <x/>
    </i>
    <i>
      <x v="1"/>
    </i>
    <i>
      <x v="22"/>
    </i>
    <i>
      <x v="23"/>
    </i>
    <i>
      <x v="24"/>
    </i>
    <i>
      <x v="27"/>
    </i>
    <i t="grand">
      <x/>
    </i>
  </rowItems>
  <colFields count="1">
    <field x="-2"/>
  </colFields>
  <colItems count="2">
    <i>
      <x/>
    </i>
    <i i="1">
      <x v="1"/>
    </i>
  </colItems>
  <dataFields count="2">
    <dataField name="Nombre de Qté achetée min" fld="8" subtotal="count" baseField="0" baseItem="0"/>
    <dataField name="Somme de Qté vendue min" fld="9" baseField="0" baseItem="0"/>
  </dataFields>
  <chartFormats count="2"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6" cacheId="96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 chartFormat="3">
  <location ref="X2:Y5" firstHeaderRow="1" firstDataRow="1" firstDataCol="1"/>
  <pivotFields count="5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Row" showAll="0" defaultSubtotal="0">
      <items count="6">
        <item sd="0" x="0"/>
        <item sd="0" x="1"/>
        <item sd="0" x="2"/>
        <item sd="0" x="3"/>
        <item sd="0" x="4"/>
        <item x="5"/>
      </items>
    </pivotField>
    <pivotField axis="axisRow" showAll="0" defaultSubtotal="0">
      <items count="4">
        <item sd="0" x="0"/>
        <item sd="0" x="1"/>
        <item sd="0" x="2"/>
        <item x="3"/>
      </items>
    </pivotField>
  </pivotFields>
  <rowFields count="3">
    <field x="4"/>
    <field x="3"/>
    <field x="1"/>
  </rowFields>
  <rowItems count="3">
    <i>
      <x v="1"/>
    </i>
    <i>
      <x v="2"/>
    </i>
    <i t="grand">
      <x/>
    </i>
  </rowItems>
  <colItems count="1">
    <i/>
  </colItems>
  <dataFields count="1">
    <dataField name="Somme de Montant" fld="2" baseField="0" baseItem="0"/>
  </dataFields>
  <chartFormats count="4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BD mouvement" cacheId="108" applyNumberFormats="0" applyBorderFormats="0" applyFontFormats="0" applyPatternFormats="0" applyAlignmentFormats="0" applyWidthHeightFormats="1" dataCaption="Valeurs" updatedVersion="6" minRefreshableVersion="3" useAutoFormatting="1" colGrandTotals="0" itemPrintTitles="1" createdVersion="6" indent="0" outline="1" outlineData="1" multipleFieldFilters="0" chartFormat="9" rowHeaderCaption="Mouvement stock" colHeaderCaption="Date activité">
  <location ref="A3:C9" firstHeaderRow="1" firstDataRow="4" firstDataCol="1"/>
  <pivotFields count="11">
    <pivotField showAll="0"/>
    <pivotField axis="axisRow" showAll="0">
      <items count="3">
        <item x="0"/>
        <item x="1"/>
        <item t="default"/>
      </items>
    </pivotField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4" showAll="0"/>
    <pivotField showAll="0"/>
    <pivotField showAll="0"/>
    <pivotField dataField="1" showAll="0"/>
    <pivotField showAll="0"/>
    <pivotField showAll="0"/>
    <pivotField axis="axisCol" showAll="0" defaultSubtotal="0">
      <items count="6">
        <item sd="0" x="0"/>
        <item sd="0" x="1"/>
        <item sd="0" x="2"/>
        <item sd="0" x="3"/>
        <item sd="0" x="4"/>
        <item x="5"/>
      </items>
    </pivotField>
    <pivotField axis="axisCol" showAll="0" defaultSubtotal="0">
      <items count="4">
        <item sd="0" x="0"/>
        <item sd="0" x="1"/>
        <item sd="0" x="2"/>
        <item x="3"/>
      </items>
    </pivotField>
  </pivotFields>
  <rowFields count="1">
    <field x="1"/>
  </rowFields>
  <rowItems count="3">
    <i>
      <x/>
    </i>
    <i>
      <x v="1"/>
    </i>
    <i t="grand">
      <x/>
    </i>
  </rowItems>
  <colFields count="3">
    <field x="10"/>
    <field x="9"/>
    <field x="2"/>
  </colFields>
  <colItems count="2">
    <i>
      <x v="1"/>
    </i>
    <i>
      <x v="2"/>
    </i>
  </colItems>
  <dataFields count="1">
    <dataField name="Nombre de Magasin de réception" fld="6" subtotal="count" baseField="0" baseItem="0"/>
  </dataFields>
  <chartFormats count="2"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Nom_client" sourceName="Nom client">
  <pivotTables>
    <pivotTable tabId="27" name="Tableau croisé dynamique3"/>
  </pivotTables>
  <data>
    <tabular pivotCacheId="1">
      <items count="5"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Nom_Fournisseur" sourceName="Nom Fournisseur">
  <pivotTables>
    <pivotTable tabId="27" name="Tableau croisé dynamique4"/>
  </pivotTables>
  <data>
    <tabular pivotCacheId="2">
      <items count="5">
        <i x="4" s="1"/>
        <i x="0" s="1"/>
        <i x="1" s="1"/>
        <i x="3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Nom_Magasin" sourceName="Nom Magasin">
  <pivotTables>
    <pivotTable tabId="27" name="Tableau croisé dynamique5"/>
  </pivotTables>
  <data>
    <tabular pivotCacheId="3">
      <items count="4">
        <i x="1" s="1"/>
        <i x="0" s="1"/>
        <i x="2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Nom client" cache="Segment_Nom_client" caption="Nom client" startItem="2" style="SlicerStyleDark6" rowHeight="241300"/>
  <slicer name="Nom Fournisseur" cache="Segment_Nom_Fournisseur" caption="Nom Fournisseur" rowHeight="241300"/>
  <slicer name="Nom Magasin" cache="Segment_Nom_Magasin" caption="Nom Magasin" rowHeight="241300"/>
</slicers>
</file>

<file path=xl/tables/table1.xml><?xml version="1.0" encoding="utf-8"?>
<table xmlns="http://schemas.openxmlformats.org/spreadsheetml/2006/main" id="11" name="Tableau11" displayName="Tableau11" ref="B3:D7" totalsRowShown="0" headerRowDxfId="23" dataDxfId="22">
  <autoFilter ref="B3:D7"/>
  <tableColumns count="3">
    <tableColumn id="1" name="utilisateur" dataDxfId="21"/>
    <tableColumn id="2" name="mot de passe" dataDxfId="20"/>
    <tableColumn id="3" name="role" dataDxfId="1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TabOrdresArticles" displayName="TabOrdresArticles" ref="A3:N52" totalsRowShown="0">
  <tableColumns count="14">
    <tableColumn id="1" name="ID Ordre"/>
    <tableColumn id="2" name="Type d'ordre"/>
    <tableColumn id="3" name="De / A"/>
    <tableColumn id="4" name="Nom article"/>
    <tableColumn id="5" name="Qté"/>
    <tableColumn id="6" name="PU"/>
    <tableColumn id="7" name="Montant"/>
    <tableColumn id="8" name="Venant de "/>
    <tableColumn id="9" name="Allant A"/>
    <tableColumn id="10" name="Notes"/>
    <tableColumn id="11" name="Chauffeur"/>
    <tableColumn id="12" name="Camion"/>
    <tableColumn id="13" name="Ligne article"/>
    <tableColumn id="14" name="Ligne">
      <calculatedColumnFormula>ROW()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ableau9" displayName="Tableau9" ref="A3:M38" totalsRowShown="0" headerRowDxfId="15">
  <autoFilter ref="A3:M38"/>
  <tableColumns count="13">
    <tableColumn id="1" name="ID Article"/>
    <tableColumn id="2" name="Nom article" dataDxfId="14"/>
    <tableColumn id="3" name="Type"/>
    <tableColumn id="4" name="Code Article"/>
    <tableColumn id="5" name="UOM"/>
    <tableColumn id="6" name="Categorie" dataDxfId="13"/>
    <tableColumn id="7" name="Description Achat"/>
    <tableColumn id="8" name="Description vente"/>
    <tableColumn id="9" name="Qté achetée min"/>
    <tableColumn id="10" name="Qté vendue min"/>
    <tableColumn id="11" name="Cout unitaire"/>
    <tableColumn id="12" name="Prix de vente"/>
    <tableColumn id="13" name="Stock minimum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ableau8" displayName="Tableau8" ref="A3:I23" totalsRowShown="0" headerRowDxfId="12">
  <tableColumns count="9">
    <tableColumn id="1" name="1"/>
    <tableColumn id="2" name="Type ordre"/>
    <tableColumn id="3" name="Date" dataDxfId="11"/>
    <tableColumn id="4" name="Temps" dataDxfId="10"/>
    <tableColumn id="5" name="Fsseur/Client"/>
    <tableColumn id="6" name="Du Fsseur ou Magasin"/>
    <tableColumn id="7" name="Magasin de réception"/>
    <tableColumn id="8" name="Chauffeur"/>
    <tableColumn id="9" name="Cam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au7" displayName="Tableau7" ref="A2:C10" totalsRowShown="0">
  <tableColumns count="3">
    <tableColumn id="1" name="ID Ajustement"/>
    <tableColumn id="2" name="Date" dataDxfId="9"/>
    <tableColumn id="3" name="Monta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au6" displayName="Tableau6" ref="A3:H8" totalsRowShown="0" headerRowDxfId="8">
  <autoFilter ref="A3:H8"/>
  <tableColumns count="8">
    <tableColumn id="1" name="ID client"/>
    <tableColumn id="2" name="Nom client"/>
    <tableColumn id="3" name="Adresse"/>
    <tableColumn id="4" name="Ville"/>
    <tableColumn id="5" name="Region" dataDxfId="7"/>
    <tableColumn id="6" name="BP"/>
    <tableColumn id="7" name="Téléphone"/>
    <tableColumn id="8" name="Emai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ableau5" displayName="Tableau5" ref="A3:I8" totalsRowShown="0" headerRowDxfId="6">
  <tableColumns count="9">
    <tableColumn id="1" name="ID"/>
    <tableColumn id="2" name="Nom Fournisseur"/>
    <tableColumn id="3" name="Téléphone"/>
    <tableColumn id="4" name="Email"/>
    <tableColumn id="5" name="Contact"/>
    <tableColumn id="6" name="Adresse"/>
    <tableColumn id="7" name="Ville"/>
    <tableColumn id="8" name="Etat"/>
    <tableColumn id="9" name="B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ableau4" displayName="Tableau4" ref="A3:F7" totalsRowShown="0" headerRowDxfId="5">
  <tableColumns count="6">
    <tableColumn id="1" name="Nom Magasin"/>
    <tableColumn id="2" name="Adresse"/>
    <tableColumn id="3" name="Ville"/>
    <tableColumn id="4" name="Zone"/>
    <tableColumn id="5" name="BP"/>
    <tableColumn id="6" name="Pays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Tableau3" displayName="Tableau3" ref="A3:H8" totalsRowShown="0" headerRowDxfId="4">
  <tableColumns count="8">
    <tableColumn id="1" name="ID chauffeur"/>
    <tableColumn id="2" name="Nom chauffeur"/>
    <tableColumn id="3" name="Téléphone"/>
    <tableColumn id="4" name="Email"/>
    <tableColumn id="5" name="Adresse"/>
    <tableColumn id="6" name="Ville"/>
    <tableColumn id="7" name="Région"/>
    <tableColumn id="8" name="BP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Tableau2" displayName="Tableau2" ref="A3:D8" totalsRowShown="0" headerRowDxfId="3">
  <tableColumns count="4">
    <tableColumn id="1" name="ID Camion"/>
    <tableColumn id="2" name="Nom Camion" dataDxfId="2"/>
    <tableColumn id="3" name="Modèle" dataDxfId="1"/>
    <tableColumn id="4" name="Tonn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ChronologieNative_Date" sourceName="Date">
  <pivotTables>
    <pivotTable tabId="27" name="Tableau croisé dynamique6"/>
  </pivotTables>
  <state minimalRefreshVersion="6" lastRefreshVersion="6" pivotCacheId="4" filterType="unknown">
    <bounds startDate="2022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e" cache="ChronologieNative_Date" caption="Date" level="3" selectionLevel="3" scrollPosition="2022-05-2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hyperlink" Target="https://videodecompta.com/maitriser-la-cloture-des-comptes-annuels/" TargetMode="Externa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1.xml"/><Relationship Id="rId7" Type="http://schemas.openxmlformats.org/officeDocument/2006/relationships/control" Target="../activeX/activeX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4.emf"/><Relationship Id="rId5" Type="http://schemas.openxmlformats.org/officeDocument/2006/relationships/control" Target="../activeX/activeX12.xml"/><Relationship Id="rId10" Type="http://schemas.openxmlformats.org/officeDocument/2006/relationships/image" Target="../media/image16.emf"/><Relationship Id="rId4" Type="http://schemas.openxmlformats.org/officeDocument/2006/relationships/image" Target="../media/image13.emf"/><Relationship Id="rId9" Type="http://schemas.openxmlformats.org/officeDocument/2006/relationships/control" Target="../activeX/activeX1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8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microsoft.com/office/2011/relationships/timeline" Target="../timelines/timelin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hyperlink" Target="mailto:C1@gmail.com" TargetMode="External"/><Relationship Id="rId7" Type="http://schemas.openxmlformats.org/officeDocument/2006/relationships/hyperlink" Target="mailto:C5@gmail.com" TargetMode="External"/><Relationship Id="rId2" Type="http://schemas.openxmlformats.org/officeDocument/2006/relationships/hyperlink" Target="mailto:C1@gmail.com" TargetMode="External"/><Relationship Id="rId1" Type="http://schemas.openxmlformats.org/officeDocument/2006/relationships/hyperlink" Target="mailto:D@1" TargetMode="External"/><Relationship Id="rId6" Type="http://schemas.openxmlformats.org/officeDocument/2006/relationships/hyperlink" Target="mailto:C4@gmail.com" TargetMode="External"/><Relationship Id="rId5" Type="http://schemas.openxmlformats.org/officeDocument/2006/relationships/hyperlink" Target="mailto:C3@gmail.com" TargetMode="External"/><Relationship Id="rId4" Type="http://schemas.openxmlformats.org/officeDocument/2006/relationships/hyperlink" Target="mailto:C2@gmail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hyperlink" Target="mailto:F@gmail.com" TargetMode="External"/><Relationship Id="rId1" Type="http://schemas.openxmlformats.org/officeDocument/2006/relationships/hyperlink" Target="mailto:F@gmail.com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hyperlink" Target="mailto:gemaplast@gmail.com" TargetMode="External"/><Relationship Id="rId1" Type="http://schemas.openxmlformats.org/officeDocument/2006/relationships/hyperlink" Target="mailto:gemaplast@gmail.com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70C0"/>
  </sheetPr>
  <dimension ref="G1:N33"/>
  <sheetViews>
    <sheetView showGridLines="0" showRowColHeaders="0" workbookViewId="0">
      <selection activeCell="P22" sqref="P22"/>
    </sheetView>
  </sheetViews>
  <sheetFormatPr baseColWidth="10" defaultColWidth="11.5703125" defaultRowHeight="15" x14ac:dyDescent="0.25"/>
  <cols>
    <col min="1" max="5" width="11.5703125" style="53"/>
    <col min="6" max="6" width="9.28515625" style="53" customWidth="1"/>
    <col min="7" max="7" width="1.5703125" style="53" customWidth="1"/>
    <col min="8" max="13" width="11.5703125" style="53"/>
    <col min="14" max="14" width="1.28515625" style="53" customWidth="1"/>
    <col min="15" max="16384" width="11.5703125" style="53"/>
  </cols>
  <sheetData>
    <row r="1" spans="7:14" ht="6" customHeight="1" thickBot="1" x14ac:dyDescent="0.3"/>
    <row r="2" spans="7:14" ht="21" x14ac:dyDescent="0.35">
      <c r="G2" s="112"/>
      <c r="H2" s="136" t="s">
        <v>256</v>
      </c>
      <c r="I2" s="136"/>
      <c r="J2" s="136"/>
      <c r="K2" s="136"/>
      <c r="L2" s="136"/>
      <c r="M2" s="136"/>
      <c r="N2" s="113"/>
    </row>
    <row r="3" spans="7:14" x14ac:dyDescent="0.25">
      <c r="G3" s="20"/>
      <c r="N3" s="19"/>
    </row>
    <row r="4" spans="7:14" ht="14.45" customHeight="1" x14ac:dyDescent="0.25">
      <c r="G4" s="20"/>
      <c r="H4" s="135"/>
      <c r="I4" s="135"/>
      <c r="J4" s="135"/>
      <c r="K4" s="135"/>
      <c r="L4" s="135"/>
      <c r="M4" s="135"/>
      <c r="N4" s="19"/>
    </row>
    <row r="5" spans="7:14" x14ac:dyDescent="0.25">
      <c r="G5" s="20"/>
      <c r="H5" s="135"/>
      <c r="I5" s="135"/>
      <c r="J5" s="135"/>
      <c r="K5" s="135"/>
      <c r="L5" s="135"/>
      <c r="M5" s="135"/>
      <c r="N5" s="19"/>
    </row>
    <row r="6" spans="7:14" x14ac:dyDescent="0.25">
      <c r="G6" s="20"/>
      <c r="H6" s="135"/>
      <c r="I6" s="135"/>
      <c r="J6" s="135"/>
      <c r="K6" s="135"/>
      <c r="L6" s="135"/>
      <c r="M6" s="135"/>
      <c r="N6" s="19"/>
    </row>
    <row r="7" spans="7:14" ht="15" customHeight="1" x14ac:dyDescent="0.25">
      <c r="G7" s="20"/>
      <c r="H7" s="135"/>
      <c r="I7" s="135"/>
      <c r="J7" s="135"/>
      <c r="K7" s="135"/>
      <c r="L7" s="135"/>
      <c r="M7" s="135"/>
      <c r="N7" s="19"/>
    </row>
    <row r="8" spans="7:14" x14ac:dyDescent="0.25">
      <c r="G8" s="20"/>
      <c r="H8" s="5"/>
      <c r="I8" s="5"/>
      <c r="J8" s="5"/>
      <c r="K8" s="5"/>
      <c r="L8" s="5"/>
      <c r="M8" s="5"/>
      <c r="N8" s="19"/>
    </row>
    <row r="9" spans="7:14" x14ac:dyDescent="0.25">
      <c r="G9" s="20"/>
      <c r="H9" s="114"/>
      <c r="I9" s="5"/>
      <c r="J9" s="5"/>
      <c r="K9" s="5"/>
      <c r="L9" s="5"/>
      <c r="M9" s="5"/>
      <c r="N9" s="19"/>
    </row>
    <row r="10" spans="7:14" ht="3.6" customHeight="1" x14ac:dyDescent="0.25">
      <c r="G10" s="20"/>
      <c r="H10" s="5"/>
      <c r="I10" s="5"/>
      <c r="J10" s="5"/>
      <c r="K10" s="5"/>
      <c r="L10" s="5"/>
      <c r="M10" s="5"/>
      <c r="N10" s="19"/>
    </row>
    <row r="11" spans="7:14" ht="2.4500000000000002" hidden="1" customHeight="1" x14ac:dyDescent="0.25">
      <c r="G11" s="20"/>
      <c r="H11" s="5"/>
      <c r="I11" s="5"/>
      <c r="J11" s="5"/>
      <c r="K11" s="5"/>
      <c r="L11" s="5"/>
      <c r="M11" s="5"/>
      <c r="N11" s="19"/>
    </row>
    <row r="12" spans="7:14" x14ac:dyDescent="0.25">
      <c r="G12" s="20"/>
      <c r="H12" s="135"/>
      <c r="I12" s="135"/>
      <c r="J12" s="135"/>
      <c r="K12" s="135"/>
      <c r="L12" s="135"/>
      <c r="M12" s="135"/>
      <c r="N12" s="19"/>
    </row>
    <row r="13" spans="7:14" x14ac:dyDescent="0.25">
      <c r="G13" s="20"/>
      <c r="H13" s="135"/>
      <c r="I13" s="135"/>
      <c r="J13" s="135"/>
      <c r="K13" s="135"/>
      <c r="L13" s="135"/>
      <c r="M13" s="135"/>
      <c r="N13" s="19"/>
    </row>
    <row r="14" spans="7:14" x14ac:dyDescent="0.25">
      <c r="G14" s="20"/>
      <c r="H14" s="135"/>
      <c r="I14" s="135"/>
      <c r="J14" s="135"/>
      <c r="K14" s="135"/>
      <c r="L14" s="135"/>
      <c r="M14" s="135"/>
      <c r="N14" s="19"/>
    </row>
    <row r="15" spans="7:14" x14ac:dyDescent="0.25">
      <c r="G15" s="20"/>
      <c r="H15" s="135"/>
      <c r="I15" s="135"/>
      <c r="J15" s="135"/>
      <c r="K15" s="135"/>
      <c r="L15" s="135"/>
      <c r="M15" s="135"/>
      <c r="N15" s="19"/>
    </row>
    <row r="16" spans="7:14" ht="13.9" customHeight="1" x14ac:dyDescent="0.25">
      <c r="G16" s="20"/>
      <c r="H16" s="135"/>
      <c r="I16" s="135"/>
      <c r="J16" s="135"/>
      <c r="K16" s="135"/>
      <c r="L16" s="135"/>
      <c r="M16" s="135"/>
      <c r="N16" s="19"/>
    </row>
    <row r="17" spans="7:14" ht="14.45" customHeight="1" x14ac:dyDescent="0.25">
      <c r="G17" s="20"/>
      <c r="H17" s="5"/>
      <c r="I17" s="5"/>
      <c r="J17" s="5"/>
      <c r="K17" s="5"/>
      <c r="L17" s="5"/>
      <c r="M17" s="5"/>
      <c r="N17" s="19"/>
    </row>
    <row r="18" spans="7:14" x14ac:dyDescent="0.25">
      <c r="G18" s="20"/>
      <c r="H18" s="137"/>
      <c r="I18" s="137"/>
      <c r="J18" s="137"/>
      <c r="K18" s="137"/>
      <c r="L18" s="137"/>
      <c r="M18" s="137"/>
      <c r="N18" s="19"/>
    </row>
    <row r="19" spans="7:14" ht="9.6" customHeight="1" x14ac:dyDescent="0.25">
      <c r="G19" s="20"/>
      <c r="H19" s="5"/>
      <c r="I19" s="5"/>
      <c r="J19" s="5"/>
      <c r="K19" s="5"/>
      <c r="L19" s="5"/>
      <c r="M19" s="5"/>
      <c r="N19" s="19"/>
    </row>
    <row r="20" spans="7:14" ht="13.9" customHeight="1" x14ac:dyDescent="0.25">
      <c r="G20" s="20"/>
      <c r="H20" s="135"/>
      <c r="I20" s="135"/>
      <c r="J20" s="135"/>
      <c r="K20" s="135"/>
      <c r="L20" s="135"/>
      <c r="M20" s="135"/>
      <c r="N20" s="19"/>
    </row>
    <row r="21" spans="7:14" ht="13.9" customHeight="1" x14ac:dyDescent="0.25">
      <c r="G21" s="20"/>
      <c r="H21" s="135"/>
      <c r="I21" s="135"/>
      <c r="J21" s="135"/>
      <c r="K21" s="135"/>
      <c r="L21" s="135"/>
      <c r="M21" s="135"/>
      <c r="N21" s="19"/>
    </row>
    <row r="22" spans="7:14" ht="13.9" customHeight="1" x14ac:dyDescent="0.25">
      <c r="G22" s="20"/>
      <c r="H22" s="135"/>
      <c r="I22" s="135"/>
      <c r="J22" s="135"/>
      <c r="K22" s="135"/>
      <c r="L22" s="135"/>
      <c r="M22" s="135"/>
      <c r="N22" s="19"/>
    </row>
    <row r="23" spans="7:14" ht="13.9" customHeight="1" x14ac:dyDescent="0.25">
      <c r="G23" s="20"/>
      <c r="H23" s="135"/>
      <c r="I23" s="135"/>
      <c r="J23" s="135"/>
      <c r="K23" s="135"/>
      <c r="L23" s="135"/>
      <c r="M23" s="135"/>
      <c r="N23" s="19"/>
    </row>
    <row r="24" spans="7:14" x14ac:dyDescent="0.25">
      <c r="G24" s="20"/>
      <c r="H24" s="5"/>
      <c r="I24" s="5"/>
      <c r="J24" s="5"/>
      <c r="K24" s="5"/>
      <c r="L24" s="5"/>
      <c r="M24" s="5"/>
      <c r="N24" s="19"/>
    </row>
    <row r="25" spans="7:14" x14ac:dyDescent="0.25">
      <c r="G25" s="20"/>
      <c r="H25" s="5"/>
      <c r="I25" s="5"/>
      <c r="J25" s="5"/>
      <c r="K25" s="5"/>
      <c r="L25" s="5"/>
      <c r="M25" s="5"/>
      <c r="N25" s="19"/>
    </row>
    <row r="26" spans="7:14" x14ac:dyDescent="0.25">
      <c r="G26" s="20"/>
      <c r="H26" s="135"/>
      <c r="I26" s="135"/>
      <c r="J26" s="135"/>
      <c r="K26" s="135"/>
      <c r="L26" s="135"/>
      <c r="M26" s="135"/>
      <c r="N26" s="19"/>
    </row>
    <row r="27" spans="7:14" x14ac:dyDescent="0.25">
      <c r="G27" s="20"/>
      <c r="H27" s="135"/>
      <c r="I27" s="135"/>
      <c r="J27" s="135"/>
      <c r="K27" s="135"/>
      <c r="L27" s="135"/>
      <c r="M27" s="135"/>
      <c r="N27" s="19"/>
    </row>
    <row r="28" spans="7:14" x14ac:dyDescent="0.25">
      <c r="G28" s="20"/>
      <c r="H28" s="135"/>
      <c r="I28" s="135"/>
      <c r="J28" s="135"/>
      <c r="K28" s="135"/>
      <c r="L28" s="135"/>
      <c r="M28" s="135"/>
      <c r="N28" s="19"/>
    </row>
    <row r="29" spans="7:14" ht="16.899999999999999" customHeight="1" x14ac:dyDescent="0.25">
      <c r="G29" s="20"/>
      <c r="H29" s="135"/>
      <c r="I29" s="135"/>
      <c r="J29" s="135"/>
      <c r="K29" s="135"/>
      <c r="L29" s="135"/>
      <c r="M29" s="135"/>
      <c r="N29" s="19"/>
    </row>
    <row r="30" spans="7:14" x14ac:dyDescent="0.25">
      <c r="G30" s="20"/>
      <c r="H30" s="5"/>
      <c r="I30" s="5"/>
      <c r="J30" s="5"/>
      <c r="K30" s="5"/>
      <c r="L30" s="5"/>
      <c r="M30" s="5"/>
      <c r="N30" s="19"/>
    </row>
    <row r="31" spans="7:14" x14ac:dyDescent="0.25">
      <c r="G31" s="20"/>
      <c r="H31" s="5"/>
      <c r="I31" s="5"/>
      <c r="J31" s="5"/>
      <c r="K31" s="5"/>
      <c r="L31" s="5"/>
      <c r="M31" s="5"/>
      <c r="N31" s="19"/>
    </row>
    <row r="32" spans="7:14" ht="15.75" thickBot="1" x14ac:dyDescent="0.3">
      <c r="G32" s="21"/>
      <c r="H32" s="22"/>
      <c r="I32" s="22"/>
      <c r="J32" s="22"/>
      <c r="K32" s="22"/>
      <c r="L32" s="22"/>
      <c r="M32" s="22"/>
      <c r="N32" s="23"/>
    </row>
    <row r="33" spans="7:14" x14ac:dyDescent="0.25">
      <c r="G33" s="5"/>
      <c r="I33" s="5"/>
      <c r="J33" s="5"/>
      <c r="K33" s="5"/>
      <c r="L33" s="5"/>
      <c r="M33" s="5"/>
      <c r="N33" s="5"/>
    </row>
  </sheetData>
  <mergeCells count="6">
    <mergeCell ref="H26:M29"/>
    <mergeCell ref="H2:M2"/>
    <mergeCell ref="H4:M7"/>
    <mergeCell ref="H12:M16"/>
    <mergeCell ref="H18:M18"/>
    <mergeCell ref="H20:M23"/>
  </mergeCells>
  <hyperlinks>
    <hyperlink ref="H9" r:id="rId1" display="https://videodecompta.com/maitriser-la-cloture-des-comptes-annuels/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590550</xdr:colOff>
                <xdr:row>15</xdr:row>
                <xdr:rowOff>47625</xdr:rowOff>
              </from>
              <to>
                <xdr:col>9</xdr:col>
                <xdr:colOff>152400</xdr:colOff>
                <xdr:row>17</xdr:row>
                <xdr:rowOff>114300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7</xdr:col>
                <xdr:colOff>590550</xdr:colOff>
                <xdr:row>17</xdr:row>
                <xdr:rowOff>142875</xdr:rowOff>
              </from>
              <to>
                <xdr:col>9</xdr:col>
                <xdr:colOff>152400</xdr:colOff>
                <xdr:row>20</xdr:row>
                <xdr:rowOff>85725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9</xdr:col>
                <xdr:colOff>209550</xdr:colOff>
                <xdr:row>15</xdr:row>
                <xdr:rowOff>47625</xdr:rowOff>
              </from>
              <to>
                <xdr:col>10</xdr:col>
                <xdr:colOff>542925</xdr:colOff>
                <xdr:row>17</xdr:row>
                <xdr:rowOff>114300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9</xdr:col>
                <xdr:colOff>209550</xdr:colOff>
                <xdr:row>17</xdr:row>
                <xdr:rowOff>152400</xdr:rowOff>
              </from>
              <to>
                <xdr:col>10</xdr:col>
                <xdr:colOff>542925</xdr:colOff>
                <xdr:row>20</xdr:row>
                <xdr:rowOff>95250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10</xdr:col>
                <xdr:colOff>638175</xdr:colOff>
                <xdr:row>17</xdr:row>
                <xdr:rowOff>142875</xdr:rowOff>
              </from>
              <to>
                <xdr:col>12</xdr:col>
                <xdr:colOff>200025</xdr:colOff>
                <xdr:row>20</xdr:row>
                <xdr:rowOff>85725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10</xdr:col>
                <xdr:colOff>638175</xdr:colOff>
                <xdr:row>15</xdr:row>
                <xdr:rowOff>38100</xdr:rowOff>
              </from>
              <to>
                <xdr:col>12</xdr:col>
                <xdr:colOff>200025</xdr:colOff>
                <xdr:row>17</xdr:row>
                <xdr:rowOff>104775</xdr:rowOff>
              </to>
            </anchor>
          </controlPr>
        </control>
      </mc:Choice>
      <mc:Fallback>
        <control shapeId="1030" r:id="rId14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4" tint="0.39997558519241921"/>
  </sheetPr>
  <dimension ref="A1"/>
  <sheetViews>
    <sheetView showGridLines="0" topLeftCell="D1" zoomScale="70" zoomScaleNormal="70" workbookViewId="0">
      <selection activeCell="Z86" sqref="Z86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20</xdr:col>
                <xdr:colOff>533400</xdr:colOff>
                <xdr:row>2</xdr:row>
                <xdr:rowOff>161925</xdr:rowOff>
              </from>
              <to>
                <xdr:col>22</xdr:col>
                <xdr:colOff>609600</xdr:colOff>
                <xdr:row>5</xdr:row>
                <xdr:rowOff>57150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 tint="-0.249977111117893"/>
  </sheetPr>
  <dimension ref="H3:AL66"/>
  <sheetViews>
    <sheetView topLeftCell="A4" zoomScale="40" zoomScaleNormal="40" workbookViewId="0">
      <selection activeCell="AF21" sqref="AF21"/>
    </sheetView>
  </sheetViews>
  <sheetFormatPr baseColWidth="10" defaultRowHeight="15" x14ac:dyDescent="0.25"/>
  <cols>
    <col min="1" max="16384" width="11.42578125" style="118"/>
  </cols>
  <sheetData>
    <row r="3" spans="8:38" x14ac:dyDescent="0.25"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</row>
    <row r="4" spans="8:38" x14ac:dyDescent="0.25"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</row>
    <row r="5" spans="8:38" x14ac:dyDescent="0.25"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7"/>
      <c r="AG5" s="117"/>
      <c r="AH5" s="117"/>
      <c r="AI5" s="117"/>
      <c r="AJ5" s="117"/>
      <c r="AK5" s="117"/>
      <c r="AL5" s="117"/>
    </row>
    <row r="6" spans="8:38" x14ac:dyDescent="0.25"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17"/>
      <c r="T6" s="117"/>
      <c r="U6" s="117"/>
      <c r="V6" s="117"/>
      <c r="W6" s="117"/>
      <c r="X6" s="117"/>
      <c r="Y6" s="117"/>
      <c r="Z6" s="117"/>
      <c r="AA6" s="117"/>
      <c r="AB6" s="117"/>
      <c r="AC6" s="117"/>
      <c r="AD6" s="117"/>
      <c r="AE6" s="117"/>
      <c r="AF6" s="117"/>
      <c r="AG6" s="117"/>
      <c r="AH6" s="117"/>
      <c r="AI6" s="117"/>
      <c r="AJ6" s="117"/>
      <c r="AK6" s="117"/>
      <c r="AL6" s="117"/>
    </row>
    <row r="7" spans="8:38" x14ac:dyDescent="0.25"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  <c r="AA7" s="117"/>
      <c r="AB7" s="117"/>
      <c r="AC7" s="117"/>
      <c r="AD7" s="117"/>
      <c r="AE7" s="117"/>
      <c r="AF7" s="117"/>
      <c r="AG7" s="117"/>
      <c r="AH7" s="117"/>
      <c r="AI7" s="117"/>
      <c r="AJ7" s="117"/>
      <c r="AK7" s="117"/>
      <c r="AL7" s="117"/>
    </row>
    <row r="8" spans="8:38" x14ac:dyDescent="0.25">
      <c r="H8" s="117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  <c r="AE8" s="117"/>
      <c r="AF8" s="117"/>
      <c r="AG8" s="117"/>
      <c r="AH8" s="117"/>
      <c r="AI8" s="117"/>
      <c r="AJ8" s="117"/>
      <c r="AK8" s="117"/>
      <c r="AL8" s="117"/>
    </row>
    <row r="9" spans="8:38" x14ac:dyDescent="0.25"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  <c r="AB9" s="117"/>
      <c r="AC9" s="117"/>
      <c r="AD9" s="117"/>
      <c r="AE9" s="117"/>
      <c r="AF9" s="117"/>
      <c r="AG9" s="117"/>
      <c r="AH9" s="117"/>
      <c r="AI9" s="117"/>
      <c r="AJ9" s="117"/>
      <c r="AK9" s="117"/>
      <c r="AL9" s="117"/>
    </row>
    <row r="10" spans="8:38" x14ac:dyDescent="0.25"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</row>
    <row r="11" spans="8:38" x14ac:dyDescent="0.25"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7"/>
      <c r="X11" s="117"/>
      <c r="Y11" s="117"/>
      <c r="Z11" s="117"/>
      <c r="AA11" s="117"/>
      <c r="AB11" s="117"/>
      <c r="AC11" s="117"/>
      <c r="AD11" s="117"/>
      <c r="AE11" s="117"/>
      <c r="AF11" s="117"/>
      <c r="AG11" s="117"/>
      <c r="AH11" s="117"/>
      <c r="AI11" s="117"/>
      <c r="AJ11" s="117"/>
      <c r="AK11" s="117"/>
      <c r="AL11" s="117"/>
    </row>
    <row r="12" spans="8:38" x14ac:dyDescent="0.25"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  <c r="AB12" s="117"/>
      <c r="AC12" s="117"/>
      <c r="AD12" s="117"/>
      <c r="AE12" s="117"/>
      <c r="AF12" s="117"/>
      <c r="AG12" s="117"/>
      <c r="AH12" s="117"/>
      <c r="AI12" s="117"/>
      <c r="AJ12" s="117"/>
      <c r="AK12" s="117"/>
      <c r="AL12" s="117"/>
    </row>
    <row r="13" spans="8:38" x14ac:dyDescent="0.25"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  <c r="W13" s="117"/>
      <c r="X13" s="117"/>
      <c r="Y13" s="117"/>
      <c r="Z13" s="117"/>
      <c r="AA13" s="117"/>
      <c r="AB13" s="117"/>
      <c r="AC13" s="117"/>
      <c r="AD13" s="117"/>
      <c r="AE13" s="117"/>
      <c r="AF13" s="117"/>
      <c r="AG13" s="117"/>
      <c r="AH13" s="117"/>
      <c r="AI13" s="117"/>
      <c r="AJ13" s="117"/>
      <c r="AK13" s="117"/>
      <c r="AL13" s="117"/>
    </row>
    <row r="14" spans="8:38" x14ac:dyDescent="0.25">
      <c r="H14" s="117"/>
      <c r="I14" s="117"/>
      <c r="J14" s="117"/>
      <c r="K14" s="117"/>
      <c r="L14" s="117"/>
      <c r="M14" s="117"/>
      <c r="N14" s="117"/>
      <c r="O14" s="117"/>
      <c r="P14" s="117"/>
      <c r="Q14" s="117"/>
      <c r="R14" s="117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</row>
    <row r="15" spans="8:38" x14ac:dyDescent="0.25"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  <c r="AL15" s="117"/>
    </row>
    <row r="16" spans="8:38" x14ac:dyDescent="0.25"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17"/>
      <c r="AH16" s="117"/>
      <c r="AI16" s="117"/>
      <c r="AJ16" s="117"/>
      <c r="AK16" s="117"/>
      <c r="AL16" s="117"/>
    </row>
    <row r="17" spans="8:38" x14ac:dyDescent="0.25"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17"/>
      <c r="AH17" s="117"/>
      <c r="AI17" s="117"/>
      <c r="AJ17" s="117"/>
      <c r="AK17" s="117"/>
      <c r="AL17" s="117"/>
    </row>
    <row r="18" spans="8:38" x14ac:dyDescent="0.25"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17"/>
      <c r="AL18" s="117"/>
    </row>
    <row r="19" spans="8:38" x14ac:dyDescent="0.25">
      <c r="H19" s="117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17"/>
      <c r="AD19" s="117"/>
      <c r="AE19" s="117"/>
      <c r="AF19" s="117"/>
      <c r="AG19" s="117"/>
      <c r="AH19" s="117"/>
      <c r="AI19" s="117"/>
      <c r="AJ19" s="117"/>
      <c r="AK19" s="117"/>
      <c r="AL19" s="117"/>
    </row>
    <row r="20" spans="8:38" x14ac:dyDescent="0.25"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</row>
    <row r="21" spans="8:38" x14ac:dyDescent="0.25"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7"/>
      <c r="AC21" s="117"/>
      <c r="AD21" s="117"/>
      <c r="AE21" s="117"/>
      <c r="AF21" s="117"/>
      <c r="AG21" s="117"/>
      <c r="AH21" s="117"/>
      <c r="AI21" s="117"/>
      <c r="AJ21" s="117"/>
      <c r="AK21" s="117"/>
      <c r="AL21" s="117"/>
    </row>
    <row r="22" spans="8:38" x14ac:dyDescent="0.25"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G22" s="117"/>
      <c r="AH22" s="117"/>
      <c r="AI22" s="117"/>
      <c r="AJ22" s="117"/>
      <c r="AK22" s="117"/>
      <c r="AL22" s="117"/>
    </row>
    <row r="23" spans="8:38" x14ac:dyDescent="0.25"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</row>
    <row r="24" spans="8:38" x14ac:dyDescent="0.25"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</row>
    <row r="25" spans="8:38" x14ac:dyDescent="0.25"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  <c r="W25" s="117"/>
      <c r="X25" s="117"/>
      <c r="Y25" s="117"/>
      <c r="Z25" s="117"/>
      <c r="AA25" s="117"/>
      <c r="AB25" s="117"/>
      <c r="AC25" s="117"/>
      <c r="AD25" s="117"/>
      <c r="AE25" s="117"/>
      <c r="AF25" s="117"/>
      <c r="AG25" s="117"/>
      <c r="AH25" s="117"/>
      <c r="AI25" s="117"/>
      <c r="AJ25" s="117"/>
      <c r="AK25" s="117"/>
      <c r="AL25" s="117"/>
    </row>
    <row r="26" spans="8:38" x14ac:dyDescent="0.25"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  <c r="W26" s="117"/>
      <c r="X26" s="117"/>
      <c r="Y26" s="117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</row>
    <row r="27" spans="8:38" x14ac:dyDescent="0.25">
      <c r="H27" s="117"/>
      <c r="I27" s="117"/>
      <c r="J27" s="117"/>
      <c r="K27" s="117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</row>
    <row r="28" spans="8:38" x14ac:dyDescent="0.25"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</row>
    <row r="29" spans="8:38" x14ac:dyDescent="0.25"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</row>
    <row r="30" spans="8:38" x14ac:dyDescent="0.25"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7"/>
      <c r="AD30" s="117"/>
      <c r="AE30" s="117"/>
      <c r="AF30" s="117"/>
      <c r="AG30" s="117"/>
      <c r="AH30" s="117"/>
      <c r="AI30" s="117"/>
      <c r="AJ30" s="117"/>
      <c r="AK30" s="117"/>
      <c r="AL30" s="117"/>
    </row>
    <row r="31" spans="8:38" x14ac:dyDescent="0.25"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  <c r="AA31" s="117"/>
      <c r="AB31" s="117"/>
      <c r="AC31" s="117"/>
      <c r="AD31" s="117"/>
      <c r="AE31" s="117"/>
      <c r="AF31" s="117"/>
      <c r="AG31" s="117"/>
      <c r="AH31" s="117"/>
      <c r="AI31" s="117"/>
      <c r="AJ31" s="117"/>
      <c r="AK31" s="117"/>
      <c r="AL31" s="117"/>
    </row>
    <row r="32" spans="8:38" x14ac:dyDescent="0.25"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117"/>
      <c r="AF32" s="117"/>
      <c r="AG32" s="117"/>
      <c r="AH32" s="117"/>
      <c r="AI32" s="117"/>
      <c r="AJ32" s="117"/>
      <c r="AK32" s="117"/>
      <c r="AL32" s="117"/>
    </row>
    <row r="33" spans="8:38" x14ac:dyDescent="0.25"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  <c r="AA33" s="117"/>
      <c r="AB33" s="117"/>
      <c r="AC33" s="117"/>
      <c r="AD33" s="117"/>
      <c r="AE33" s="117"/>
      <c r="AF33" s="117"/>
      <c r="AG33" s="117"/>
      <c r="AH33" s="117"/>
      <c r="AI33" s="117"/>
      <c r="AJ33" s="117"/>
      <c r="AK33" s="117"/>
      <c r="AL33" s="117"/>
    </row>
    <row r="34" spans="8:38" x14ac:dyDescent="0.25"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</row>
    <row r="35" spans="8:38" x14ac:dyDescent="0.25"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</row>
    <row r="36" spans="8:38" x14ac:dyDescent="0.25"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</row>
    <row r="37" spans="8:38" x14ac:dyDescent="0.25"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117"/>
      <c r="AK37" s="117"/>
      <c r="AL37" s="117"/>
    </row>
    <row r="38" spans="8:38" x14ac:dyDescent="0.25"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</row>
    <row r="39" spans="8:38" x14ac:dyDescent="0.25"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17"/>
      <c r="AJ39" s="117"/>
      <c r="AK39" s="117"/>
      <c r="AL39" s="117"/>
    </row>
    <row r="40" spans="8:38" x14ac:dyDescent="0.25"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</row>
    <row r="41" spans="8:38" x14ac:dyDescent="0.25"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</row>
    <row r="42" spans="8:38" x14ac:dyDescent="0.25"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</row>
    <row r="43" spans="8:38" x14ac:dyDescent="0.25"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</row>
    <row r="44" spans="8:38" x14ac:dyDescent="0.25">
      <c r="H44" s="117"/>
      <c r="I44" s="117"/>
      <c r="J44" s="117"/>
      <c r="K44" s="11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  <c r="AA44" s="117"/>
      <c r="AB44" s="117"/>
      <c r="AC44" s="117"/>
      <c r="AD44" s="117"/>
      <c r="AE44" s="117"/>
      <c r="AF44" s="117"/>
      <c r="AG44" s="117"/>
      <c r="AH44" s="117"/>
      <c r="AI44" s="117"/>
      <c r="AJ44" s="117"/>
      <c r="AK44" s="117"/>
      <c r="AL44" s="117"/>
    </row>
    <row r="45" spans="8:38" x14ac:dyDescent="0.25">
      <c r="H45" s="117"/>
      <c r="I45" s="117"/>
      <c r="J45" s="117"/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7"/>
      <c r="W45" s="117"/>
      <c r="X45" s="117"/>
      <c r="Y45" s="117"/>
      <c r="Z45" s="117"/>
      <c r="AA45" s="117"/>
      <c r="AB45" s="117"/>
      <c r="AC45" s="117"/>
      <c r="AD45" s="117"/>
      <c r="AE45" s="117"/>
      <c r="AF45" s="117"/>
      <c r="AG45" s="117"/>
      <c r="AH45" s="117"/>
      <c r="AI45" s="117"/>
      <c r="AJ45" s="117"/>
      <c r="AK45" s="117"/>
      <c r="AL45" s="117"/>
    </row>
    <row r="46" spans="8:38" x14ac:dyDescent="0.25"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</row>
    <row r="47" spans="8:38" x14ac:dyDescent="0.25">
      <c r="H47" s="117"/>
      <c r="I47" s="117"/>
      <c r="J47" s="117"/>
      <c r="K47" s="117"/>
      <c r="L47" s="117"/>
      <c r="M47" s="117"/>
      <c r="N47" s="117"/>
      <c r="O47" s="117"/>
      <c r="P47" s="117"/>
      <c r="Q47" s="117"/>
      <c r="R47" s="117"/>
      <c r="S47" s="117"/>
      <c r="T47" s="117"/>
      <c r="U47" s="117"/>
      <c r="V47" s="117"/>
      <c r="W47" s="117"/>
      <c r="X47" s="117"/>
      <c r="Y47" s="117"/>
      <c r="Z47" s="117"/>
      <c r="AA47" s="117"/>
      <c r="AB47" s="117"/>
      <c r="AC47" s="117"/>
      <c r="AD47" s="117"/>
      <c r="AE47" s="117"/>
      <c r="AF47" s="117"/>
      <c r="AG47" s="117"/>
      <c r="AH47" s="117"/>
      <c r="AI47" s="117"/>
      <c r="AJ47" s="117"/>
      <c r="AK47" s="117"/>
      <c r="AL47" s="117"/>
    </row>
    <row r="48" spans="8:38" x14ac:dyDescent="0.25">
      <c r="H48" s="117"/>
      <c r="I48" s="117"/>
      <c r="J48" s="117"/>
      <c r="K48" s="117"/>
      <c r="L48" s="117"/>
      <c r="M48" s="117"/>
      <c r="N48" s="117"/>
      <c r="O48" s="117"/>
      <c r="P48" s="117"/>
      <c r="Q48" s="117"/>
      <c r="R48" s="117"/>
      <c r="S48" s="117"/>
      <c r="T48" s="117"/>
      <c r="U48" s="117"/>
      <c r="V48" s="117"/>
      <c r="W48" s="117"/>
      <c r="X48" s="117"/>
      <c r="Y48" s="117"/>
      <c r="Z48" s="117"/>
      <c r="AA48" s="117"/>
      <c r="AB48" s="117"/>
      <c r="AC48" s="117"/>
      <c r="AD48" s="117"/>
      <c r="AE48" s="117"/>
      <c r="AF48" s="117"/>
      <c r="AG48" s="117"/>
      <c r="AH48" s="117"/>
      <c r="AI48" s="117"/>
      <c r="AJ48" s="117"/>
      <c r="AK48" s="117"/>
      <c r="AL48" s="117"/>
    </row>
    <row r="49" spans="8:38" x14ac:dyDescent="0.25"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  <c r="AA49" s="117"/>
      <c r="AB49" s="117"/>
      <c r="AC49" s="117"/>
      <c r="AD49" s="117"/>
      <c r="AE49" s="117"/>
      <c r="AF49" s="117"/>
      <c r="AG49" s="117"/>
      <c r="AH49" s="117"/>
      <c r="AI49" s="117"/>
      <c r="AJ49" s="117"/>
      <c r="AK49" s="117"/>
      <c r="AL49" s="117"/>
    </row>
    <row r="50" spans="8:38" x14ac:dyDescent="0.25"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</row>
    <row r="51" spans="8:38" x14ac:dyDescent="0.25">
      <c r="H51" s="117"/>
      <c r="I51" s="117"/>
      <c r="J51" s="117"/>
      <c r="K51" s="117"/>
      <c r="L51" s="117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117"/>
      <c r="AB51" s="117"/>
      <c r="AC51" s="117"/>
      <c r="AD51" s="117"/>
      <c r="AE51" s="117"/>
      <c r="AF51" s="117"/>
      <c r="AG51" s="117"/>
      <c r="AH51" s="117"/>
      <c r="AI51" s="117"/>
      <c r="AJ51" s="117"/>
      <c r="AK51" s="117"/>
      <c r="AL51" s="117"/>
    </row>
    <row r="52" spans="8:38" x14ac:dyDescent="0.25"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  <c r="AA52" s="117"/>
      <c r="AB52" s="117"/>
      <c r="AC52" s="117"/>
      <c r="AD52" s="117"/>
      <c r="AE52" s="117"/>
      <c r="AF52" s="117"/>
      <c r="AG52" s="117"/>
      <c r="AH52" s="117"/>
      <c r="AI52" s="117"/>
      <c r="AJ52" s="117"/>
      <c r="AK52" s="117"/>
      <c r="AL52" s="117"/>
    </row>
    <row r="53" spans="8:38" x14ac:dyDescent="0.25"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</row>
    <row r="54" spans="8:38" x14ac:dyDescent="0.25"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117"/>
      <c r="AF54" s="117"/>
      <c r="AG54" s="117"/>
      <c r="AH54" s="117"/>
      <c r="AI54" s="117"/>
      <c r="AJ54" s="117"/>
      <c r="AK54" s="117"/>
      <c r="AL54" s="117"/>
    </row>
    <row r="55" spans="8:38" x14ac:dyDescent="0.25">
      <c r="H55" s="117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  <c r="AA55" s="117"/>
      <c r="AB55" s="117"/>
      <c r="AC55" s="117"/>
      <c r="AD55" s="117"/>
      <c r="AE55" s="117"/>
      <c r="AF55" s="117"/>
      <c r="AG55" s="117"/>
      <c r="AH55" s="117"/>
      <c r="AI55" s="117"/>
      <c r="AJ55" s="117"/>
      <c r="AK55" s="117"/>
      <c r="AL55" s="117"/>
    </row>
    <row r="56" spans="8:38" x14ac:dyDescent="0.25">
      <c r="H56" s="117"/>
      <c r="I56" s="117"/>
      <c r="J56" s="117"/>
      <c r="K56" s="117"/>
      <c r="L56" s="117"/>
      <c r="M56" s="117"/>
      <c r="N56" s="117"/>
      <c r="O56" s="117"/>
      <c r="P56" s="117"/>
      <c r="Q56" s="117"/>
      <c r="R56" s="117"/>
      <c r="S56" s="117"/>
      <c r="T56" s="117"/>
      <c r="U56" s="117"/>
      <c r="V56" s="117"/>
      <c r="W56" s="117"/>
      <c r="X56" s="117"/>
      <c r="Y56" s="117"/>
      <c r="Z56" s="117"/>
      <c r="AA56" s="117"/>
      <c r="AB56" s="117"/>
      <c r="AC56" s="117"/>
      <c r="AD56" s="117"/>
      <c r="AE56" s="117"/>
      <c r="AF56" s="117"/>
      <c r="AG56" s="117"/>
      <c r="AH56" s="117"/>
      <c r="AI56" s="117"/>
      <c r="AJ56" s="117"/>
      <c r="AK56" s="117"/>
      <c r="AL56" s="117"/>
    </row>
    <row r="57" spans="8:38" x14ac:dyDescent="0.25"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  <c r="AA57" s="117"/>
      <c r="AB57" s="117"/>
      <c r="AC57" s="117"/>
      <c r="AD57" s="117"/>
      <c r="AE57" s="117"/>
      <c r="AF57" s="117"/>
      <c r="AG57" s="117"/>
      <c r="AH57" s="117"/>
      <c r="AI57" s="117"/>
      <c r="AJ57" s="117"/>
      <c r="AK57" s="117"/>
      <c r="AL57" s="117"/>
    </row>
    <row r="58" spans="8:38" x14ac:dyDescent="0.25">
      <c r="H58" s="117"/>
      <c r="I58" s="117"/>
      <c r="J58" s="117"/>
      <c r="K58" s="117"/>
      <c r="L58" s="117"/>
      <c r="M58" s="117"/>
      <c r="N58" s="117"/>
      <c r="O58" s="117"/>
      <c r="P58" s="117"/>
      <c r="Q58" s="117"/>
      <c r="R58" s="117"/>
      <c r="S58" s="117"/>
      <c r="T58" s="117"/>
      <c r="U58" s="117"/>
      <c r="V58" s="117"/>
      <c r="W58" s="117"/>
      <c r="X58" s="117"/>
      <c r="Y58" s="117"/>
      <c r="Z58" s="117"/>
      <c r="AA58" s="117"/>
      <c r="AB58" s="117"/>
      <c r="AC58" s="117"/>
      <c r="AD58" s="117"/>
      <c r="AE58" s="117"/>
      <c r="AF58" s="117"/>
      <c r="AG58" s="117"/>
      <c r="AH58" s="117"/>
      <c r="AI58" s="117"/>
      <c r="AJ58" s="117"/>
      <c r="AK58" s="117"/>
      <c r="AL58" s="117"/>
    </row>
    <row r="59" spans="8:38" x14ac:dyDescent="0.25">
      <c r="H59" s="117"/>
      <c r="I59" s="117"/>
      <c r="J59" s="117"/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17"/>
      <c r="V59" s="117"/>
      <c r="W59" s="117"/>
      <c r="X59" s="117"/>
      <c r="Y59" s="117"/>
      <c r="Z59" s="117"/>
      <c r="AA59" s="117"/>
      <c r="AB59" s="117"/>
      <c r="AC59" s="117"/>
      <c r="AD59" s="117"/>
      <c r="AE59" s="117"/>
      <c r="AF59" s="117"/>
      <c r="AG59" s="117"/>
      <c r="AH59" s="117"/>
      <c r="AI59" s="117"/>
      <c r="AJ59" s="117"/>
      <c r="AK59" s="117"/>
      <c r="AL59" s="117"/>
    </row>
    <row r="60" spans="8:38" x14ac:dyDescent="0.25">
      <c r="H60" s="117"/>
      <c r="I60" s="117"/>
      <c r="J60" s="117"/>
      <c r="K60" s="117"/>
      <c r="L60" s="117"/>
      <c r="M60" s="117"/>
      <c r="N60" s="117"/>
      <c r="O60" s="117"/>
      <c r="P60" s="117"/>
      <c r="Q60" s="117"/>
      <c r="R60" s="117"/>
      <c r="S60" s="117"/>
      <c r="T60" s="117"/>
      <c r="U60" s="117"/>
      <c r="V60" s="117"/>
      <c r="W60" s="117"/>
      <c r="X60" s="117"/>
      <c r="Y60" s="117"/>
      <c r="Z60" s="117"/>
      <c r="AA60" s="117"/>
      <c r="AB60" s="117"/>
      <c r="AC60" s="117"/>
      <c r="AD60" s="117"/>
      <c r="AE60" s="117"/>
      <c r="AF60" s="117"/>
      <c r="AG60" s="117"/>
      <c r="AH60" s="117"/>
      <c r="AI60" s="117"/>
      <c r="AJ60" s="117"/>
      <c r="AK60" s="117"/>
      <c r="AL60" s="117"/>
    </row>
    <row r="61" spans="8:38" x14ac:dyDescent="0.25"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  <c r="T61" s="117"/>
      <c r="U61" s="117"/>
      <c r="V61" s="117"/>
      <c r="W61" s="117"/>
      <c r="X61" s="117"/>
      <c r="Y61" s="117"/>
      <c r="Z61" s="117"/>
      <c r="AA61" s="117"/>
      <c r="AB61" s="117"/>
      <c r="AC61" s="117"/>
      <c r="AD61" s="117"/>
      <c r="AE61" s="117"/>
      <c r="AF61" s="117"/>
      <c r="AG61" s="117"/>
      <c r="AH61" s="117"/>
      <c r="AI61" s="117"/>
      <c r="AJ61" s="117"/>
      <c r="AK61" s="117"/>
      <c r="AL61" s="117"/>
    </row>
    <row r="62" spans="8:38" x14ac:dyDescent="0.25"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7"/>
      <c r="V62" s="117"/>
      <c r="W62" s="117"/>
      <c r="X62" s="117"/>
      <c r="Y62" s="117"/>
      <c r="Z62" s="117"/>
      <c r="AA62" s="117"/>
      <c r="AB62" s="117"/>
      <c r="AC62" s="117"/>
      <c r="AD62" s="117"/>
      <c r="AE62" s="117"/>
      <c r="AF62" s="117"/>
      <c r="AG62" s="117"/>
      <c r="AH62" s="117"/>
      <c r="AI62" s="117"/>
      <c r="AJ62" s="117"/>
      <c r="AK62" s="117"/>
      <c r="AL62" s="117"/>
    </row>
    <row r="63" spans="8:38" x14ac:dyDescent="0.25">
      <c r="H63" s="117"/>
      <c r="I63" s="117"/>
      <c r="J63" s="117"/>
      <c r="K63" s="117"/>
      <c r="L63" s="117"/>
      <c r="M63" s="117"/>
      <c r="N63" s="117"/>
      <c r="O63" s="117"/>
      <c r="P63" s="117"/>
      <c r="Q63" s="117"/>
      <c r="R63" s="117"/>
      <c r="S63" s="117"/>
      <c r="T63" s="117"/>
      <c r="U63" s="117"/>
      <c r="V63" s="117"/>
      <c r="W63" s="117"/>
      <c r="X63" s="117"/>
      <c r="Y63" s="117"/>
      <c r="Z63" s="117"/>
      <c r="AA63" s="117"/>
      <c r="AB63" s="117"/>
      <c r="AC63" s="117"/>
      <c r="AD63" s="117"/>
      <c r="AE63" s="117"/>
      <c r="AF63" s="117"/>
      <c r="AG63" s="117"/>
      <c r="AH63" s="117"/>
      <c r="AI63" s="117"/>
      <c r="AJ63" s="117"/>
      <c r="AK63" s="117"/>
      <c r="AL63" s="117"/>
    </row>
    <row r="64" spans="8:38" x14ac:dyDescent="0.25">
      <c r="H64" s="117"/>
      <c r="I64" s="117"/>
      <c r="J64" s="117"/>
      <c r="K64" s="117"/>
      <c r="L64" s="117"/>
      <c r="M64" s="117"/>
      <c r="N64" s="117"/>
      <c r="O64" s="117"/>
      <c r="P64" s="117"/>
      <c r="Q64" s="117"/>
      <c r="R64" s="117"/>
      <c r="S64" s="117"/>
      <c r="T64" s="117"/>
      <c r="U64" s="117"/>
      <c r="V64" s="117"/>
      <c r="W64" s="117"/>
      <c r="X64" s="117"/>
      <c r="Y64" s="117"/>
      <c r="Z64" s="117"/>
      <c r="AA64" s="117"/>
      <c r="AB64" s="117"/>
      <c r="AC64" s="117"/>
      <c r="AD64" s="117"/>
      <c r="AE64" s="117"/>
      <c r="AF64" s="117"/>
      <c r="AG64" s="117"/>
      <c r="AH64" s="117"/>
      <c r="AI64" s="117"/>
      <c r="AJ64" s="117"/>
      <c r="AK64" s="117"/>
      <c r="AL64" s="117"/>
    </row>
    <row r="65" spans="8:38" x14ac:dyDescent="0.25">
      <c r="H65" s="117"/>
      <c r="I65" s="117"/>
      <c r="J65" s="117"/>
      <c r="K65" s="117"/>
      <c r="L65" s="117"/>
      <c r="M65" s="117"/>
      <c r="N65" s="117"/>
      <c r="O65" s="117"/>
      <c r="P65" s="117"/>
      <c r="Q65" s="117"/>
      <c r="R65" s="117"/>
      <c r="S65" s="117"/>
      <c r="T65" s="117"/>
      <c r="U65" s="117"/>
      <c r="V65" s="117"/>
      <c r="W65" s="117"/>
      <c r="X65" s="117"/>
      <c r="Y65" s="117"/>
      <c r="Z65" s="117"/>
      <c r="AA65" s="117"/>
      <c r="AB65" s="117"/>
      <c r="AC65" s="117"/>
      <c r="AD65" s="117"/>
      <c r="AE65" s="117"/>
      <c r="AF65" s="117"/>
      <c r="AG65" s="117"/>
      <c r="AH65" s="117"/>
      <c r="AI65" s="117"/>
      <c r="AJ65" s="117"/>
      <c r="AK65" s="117"/>
      <c r="AL65" s="117"/>
    </row>
    <row r="66" spans="8:38" x14ac:dyDescent="0.25">
      <c r="H66" s="117"/>
      <c r="I66" s="117"/>
      <c r="J66" s="117"/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7"/>
      <c r="V66" s="117"/>
      <c r="W66" s="117"/>
      <c r="X66" s="117"/>
      <c r="Y66" s="117"/>
      <c r="Z66" s="117"/>
      <c r="AA66" s="117"/>
      <c r="AB66" s="117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autoLine="0" r:id="rId4">
            <anchor moveWithCells="1">
              <from>
                <xdr:col>34</xdr:col>
                <xdr:colOff>190500</xdr:colOff>
                <xdr:row>6</xdr:row>
                <xdr:rowOff>123825</xdr:rowOff>
              </from>
              <to>
                <xdr:col>37</xdr:col>
                <xdr:colOff>314325</xdr:colOff>
                <xdr:row>11</xdr:row>
                <xdr:rowOff>0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FF00"/>
  </sheetPr>
  <dimension ref="A1"/>
  <sheetViews>
    <sheetView showGridLines="0" zoomScale="60" zoomScaleNormal="60" workbookViewId="0">
      <selection activeCell="N5" sqref="N5"/>
    </sheetView>
  </sheetViews>
  <sheetFormatPr baseColWidth="10" defaultRowHeight="15" x14ac:dyDescent="0.25"/>
  <cols>
    <col min="1" max="16384" width="11.42578125" style="118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25</xdr:col>
                <xdr:colOff>304800</xdr:colOff>
                <xdr:row>5</xdr:row>
                <xdr:rowOff>114300</xdr:rowOff>
              </from>
              <to>
                <xdr:col>28</xdr:col>
                <xdr:colOff>171450</xdr:colOff>
                <xdr:row>8</xdr:row>
                <xdr:rowOff>76200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2060"/>
  </sheetPr>
  <dimension ref="A1"/>
  <sheetViews>
    <sheetView showGridLines="0" topLeftCell="D1" zoomScale="70" zoomScaleNormal="70" workbookViewId="0">
      <selection activeCell="X7" sqref="X7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autoLine="0" r:id="rId4">
            <anchor moveWithCells="1">
              <from>
                <xdr:col>22</xdr:col>
                <xdr:colOff>104775</xdr:colOff>
                <xdr:row>3</xdr:row>
                <xdr:rowOff>28575</xdr:rowOff>
              </from>
              <to>
                <xdr:col>24</xdr:col>
                <xdr:colOff>314325</xdr:colOff>
                <xdr:row>5</xdr:row>
                <xdr:rowOff>123825</xdr:rowOff>
              </to>
            </anchor>
          </controlPr>
        </control>
      </mc:Choice>
      <mc:Fallback>
        <control shapeId="1843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F1:K28"/>
  <sheetViews>
    <sheetView zoomScale="90" zoomScaleNormal="90" workbookViewId="0">
      <selection activeCell="P11" sqref="P11"/>
    </sheetView>
  </sheetViews>
  <sheetFormatPr baseColWidth="10" defaultRowHeight="15" x14ac:dyDescent="0.25"/>
  <cols>
    <col min="1" max="16384" width="11.42578125" style="120"/>
  </cols>
  <sheetData>
    <row r="1" spans="6:11" ht="15.75" thickBot="1" x14ac:dyDescent="0.3"/>
    <row r="2" spans="6:11" ht="15.75" thickBot="1" x14ac:dyDescent="0.3">
      <c r="F2" s="126"/>
      <c r="G2" s="127"/>
      <c r="H2" s="127"/>
      <c r="I2" s="127"/>
      <c r="J2" s="127"/>
      <c r="K2" s="128"/>
    </row>
    <row r="3" spans="6:11" x14ac:dyDescent="0.25">
      <c r="F3" s="121"/>
      <c r="G3" s="119"/>
      <c r="H3" s="119"/>
      <c r="I3" s="119"/>
      <c r="J3" s="119"/>
      <c r="K3" s="122"/>
    </row>
    <row r="4" spans="6:11" x14ac:dyDescent="0.25">
      <c r="F4" s="121"/>
      <c r="G4" s="119"/>
      <c r="H4" s="119"/>
      <c r="I4" s="119"/>
      <c r="J4" s="119"/>
      <c r="K4" s="122"/>
    </row>
    <row r="5" spans="6:11" x14ac:dyDescent="0.25">
      <c r="F5" s="121"/>
      <c r="G5" s="119"/>
      <c r="H5" s="119"/>
      <c r="I5" s="119"/>
      <c r="J5" s="119"/>
      <c r="K5" s="122"/>
    </row>
    <row r="6" spans="6:11" x14ac:dyDescent="0.25">
      <c r="F6" s="121"/>
      <c r="G6" s="119"/>
      <c r="H6" s="119"/>
      <c r="I6" s="119"/>
      <c r="J6" s="119"/>
      <c r="K6" s="122"/>
    </row>
    <row r="7" spans="6:11" x14ac:dyDescent="0.25">
      <c r="F7" s="121"/>
      <c r="G7" s="119"/>
      <c r="H7" s="119"/>
      <c r="I7" s="119"/>
      <c r="J7" s="119"/>
      <c r="K7" s="122"/>
    </row>
    <row r="8" spans="6:11" x14ac:dyDescent="0.25">
      <c r="F8" s="121"/>
      <c r="G8" s="119"/>
      <c r="H8" s="119"/>
      <c r="I8" s="119"/>
      <c r="J8" s="119"/>
      <c r="K8" s="122"/>
    </row>
    <row r="9" spans="6:11" x14ac:dyDescent="0.25">
      <c r="F9" s="121"/>
      <c r="G9" s="119"/>
      <c r="H9" s="119"/>
      <c r="I9" s="119"/>
      <c r="J9" s="119"/>
      <c r="K9" s="122"/>
    </row>
    <row r="10" spans="6:11" x14ac:dyDescent="0.25">
      <c r="F10" s="121"/>
      <c r="G10" s="119"/>
      <c r="H10" s="119"/>
      <c r="I10" s="119"/>
      <c r="J10" s="119"/>
      <c r="K10" s="122"/>
    </row>
    <row r="11" spans="6:11" x14ac:dyDescent="0.25">
      <c r="F11" s="121"/>
      <c r="G11" s="119"/>
      <c r="H11" s="119"/>
      <c r="I11" s="119"/>
      <c r="J11" s="119"/>
      <c r="K11" s="122"/>
    </row>
    <row r="12" spans="6:11" x14ac:dyDescent="0.25">
      <c r="F12" s="121"/>
      <c r="G12" s="119"/>
      <c r="H12" s="119"/>
      <c r="I12" s="119"/>
      <c r="J12" s="119"/>
      <c r="K12" s="122"/>
    </row>
    <row r="13" spans="6:11" x14ac:dyDescent="0.25">
      <c r="F13" s="121"/>
      <c r="G13" s="119"/>
      <c r="H13" s="119"/>
      <c r="I13" s="119"/>
      <c r="J13" s="119"/>
      <c r="K13" s="122"/>
    </row>
    <row r="14" spans="6:11" x14ac:dyDescent="0.25">
      <c r="F14" s="121"/>
      <c r="G14" s="119"/>
      <c r="H14" s="119"/>
      <c r="I14" s="119"/>
      <c r="J14" s="119"/>
      <c r="K14" s="122"/>
    </row>
    <row r="15" spans="6:11" x14ac:dyDescent="0.25">
      <c r="F15" s="121"/>
      <c r="G15" s="119"/>
      <c r="H15" s="119"/>
      <c r="I15" s="119"/>
      <c r="J15" s="119"/>
      <c r="K15" s="122"/>
    </row>
    <row r="16" spans="6:11" x14ac:dyDescent="0.25">
      <c r="F16" s="121"/>
      <c r="G16" s="119"/>
      <c r="H16" s="119"/>
      <c r="I16" s="119"/>
      <c r="J16" s="119"/>
      <c r="K16" s="122"/>
    </row>
    <row r="17" spans="6:11" x14ac:dyDescent="0.25">
      <c r="F17" s="121"/>
      <c r="G17" s="119"/>
      <c r="H17" s="119"/>
      <c r="I17" s="119"/>
      <c r="J17" s="119"/>
      <c r="K17" s="122"/>
    </row>
    <row r="18" spans="6:11" x14ac:dyDescent="0.25">
      <c r="F18" s="121"/>
      <c r="G18" s="119"/>
      <c r="H18" s="119"/>
      <c r="I18" s="119"/>
      <c r="J18" s="119"/>
      <c r="K18" s="122"/>
    </row>
    <row r="19" spans="6:11" x14ac:dyDescent="0.25">
      <c r="F19" s="121"/>
      <c r="G19" s="119"/>
      <c r="H19" s="119"/>
      <c r="I19" s="119"/>
      <c r="J19" s="119"/>
      <c r="K19" s="122"/>
    </row>
    <row r="20" spans="6:11" x14ac:dyDescent="0.25">
      <c r="F20" s="121"/>
      <c r="G20" s="119"/>
      <c r="H20" s="119"/>
      <c r="I20" s="119"/>
      <c r="J20" s="119"/>
      <c r="K20" s="122"/>
    </row>
    <row r="21" spans="6:11" x14ac:dyDescent="0.25">
      <c r="F21" s="121"/>
      <c r="G21" s="119"/>
      <c r="H21" s="119"/>
      <c r="I21" s="119"/>
      <c r="J21" s="119"/>
      <c r="K21" s="122"/>
    </row>
    <row r="22" spans="6:11" x14ac:dyDescent="0.25">
      <c r="F22" s="121"/>
      <c r="G22" s="119"/>
      <c r="H22" s="119"/>
      <c r="I22" s="119"/>
      <c r="J22" s="119"/>
      <c r="K22" s="122"/>
    </row>
    <row r="23" spans="6:11" ht="15.75" thickBot="1" x14ac:dyDescent="0.3">
      <c r="F23" s="123"/>
      <c r="G23" s="124"/>
      <c r="H23" s="124"/>
      <c r="I23" s="124"/>
      <c r="J23" s="124"/>
      <c r="K23" s="125"/>
    </row>
    <row r="24" spans="6:11" x14ac:dyDescent="0.25">
      <c r="F24" s="119"/>
      <c r="G24" s="119"/>
      <c r="H24" s="119"/>
      <c r="I24" s="119"/>
      <c r="J24" s="119"/>
    </row>
    <row r="25" spans="6:11" x14ac:dyDescent="0.25">
      <c r="F25" s="119"/>
      <c r="G25" s="119"/>
      <c r="H25" s="119"/>
      <c r="I25" s="119"/>
      <c r="J25" s="119"/>
    </row>
    <row r="26" spans="6:11" x14ac:dyDescent="0.25">
      <c r="F26" s="119"/>
      <c r="G26" s="119"/>
      <c r="H26" s="119"/>
      <c r="I26" s="119"/>
      <c r="J26" s="119"/>
    </row>
    <row r="27" spans="6:11" x14ac:dyDescent="0.25">
      <c r="F27" s="119"/>
      <c r="G27" s="119"/>
      <c r="H27" s="119"/>
      <c r="I27" s="119"/>
      <c r="J27" s="119"/>
      <c r="K27" s="119"/>
    </row>
    <row r="28" spans="6:11" x14ac:dyDescent="0.25">
      <c r="F28" s="119"/>
      <c r="G28" s="119"/>
      <c r="H28" s="119"/>
      <c r="I28" s="119"/>
      <c r="J28" s="119"/>
      <c r="K28" s="11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2" r:id="rId3" name="TextBox1">
          <controlPr defaultSize="0" autoLine="0" r:id="rId4">
            <anchor moveWithCells="1">
              <from>
                <xdr:col>7</xdr:col>
                <xdr:colOff>114300</xdr:colOff>
                <xdr:row>9</xdr:row>
                <xdr:rowOff>85725</xdr:rowOff>
              </from>
              <to>
                <xdr:col>9</xdr:col>
                <xdr:colOff>47625</xdr:colOff>
                <xdr:row>10</xdr:row>
                <xdr:rowOff>142875</xdr:rowOff>
              </to>
            </anchor>
          </controlPr>
        </control>
      </mc:Choice>
      <mc:Fallback>
        <control shapeId="25602" r:id="rId3" name="TextBox1"/>
      </mc:Fallback>
    </mc:AlternateContent>
    <mc:AlternateContent xmlns:mc="http://schemas.openxmlformats.org/markup-compatibility/2006">
      <mc:Choice Requires="x14">
        <control shapeId="25603" r:id="rId5" name="TextBox2">
          <controlPr defaultSize="0" autoLine="0" r:id="rId6">
            <anchor moveWithCells="1">
              <from>
                <xdr:col>7</xdr:col>
                <xdr:colOff>114300</xdr:colOff>
                <xdr:row>11</xdr:row>
                <xdr:rowOff>19050</xdr:rowOff>
              </from>
              <to>
                <xdr:col>9</xdr:col>
                <xdr:colOff>66675</xdr:colOff>
                <xdr:row>12</xdr:row>
                <xdr:rowOff>76200</xdr:rowOff>
              </to>
            </anchor>
          </controlPr>
        </control>
      </mc:Choice>
      <mc:Fallback>
        <control shapeId="25603" r:id="rId5" name="TextBox2"/>
      </mc:Fallback>
    </mc:AlternateContent>
    <mc:AlternateContent xmlns:mc="http://schemas.openxmlformats.org/markup-compatibility/2006">
      <mc:Choice Requires="x14">
        <control shapeId="25604" r:id="rId7" name="CommandButton1">
          <controlPr defaultSize="0" autoLine="0" r:id="rId8">
            <anchor moveWithCells="1">
              <from>
                <xdr:col>7</xdr:col>
                <xdr:colOff>485775</xdr:colOff>
                <xdr:row>12</xdr:row>
                <xdr:rowOff>152400</xdr:rowOff>
              </from>
              <to>
                <xdr:col>8</xdr:col>
                <xdr:colOff>504825</xdr:colOff>
                <xdr:row>14</xdr:row>
                <xdr:rowOff>38100</xdr:rowOff>
              </to>
            </anchor>
          </controlPr>
        </control>
      </mc:Choice>
      <mc:Fallback>
        <control shapeId="25604" r:id="rId7" name="CommandButton1"/>
      </mc:Fallback>
    </mc:AlternateContent>
    <mc:AlternateContent xmlns:mc="http://schemas.openxmlformats.org/markup-compatibility/2006">
      <mc:Choice Requires="x14">
        <control shapeId="25607" r:id="rId9" name="CommandButton2">
          <controlPr defaultSize="0" autoLine="0" r:id="rId10">
            <anchor moveWithCells="1">
              <from>
                <xdr:col>9</xdr:col>
                <xdr:colOff>38100</xdr:colOff>
                <xdr:row>5</xdr:row>
                <xdr:rowOff>133350</xdr:rowOff>
              </from>
              <to>
                <xdr:col>10</xdr:col>
                <xdr:colOff>200025</xdr:colOff>
                <xdr:row>7</xdr:row>
                <xdr:rowOff>28575</xdr:rowOff>
              </to>
            </anchor>
          </controlPr>
        </control>
      </mc:Choice>
      <mc:Fallback>
        <control shapeId="25607" r:id="rId9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3:D7"/>
  <sheetViews>
    <sheetView workbookViewId="0">
      <selection activeCell="H10" sqref="H10"/>
    </sheetView>
  </sheetViews>
  <sheetFormatPr baseColWidth="10" defaultRowHeight="15" x14ac:dyDescent="0.25"/>
  <cols>
    <col min="2" max="2" width="14.28515625" customWidth="1"/>
    <col min="3" max="3" width="20.5703125" customWidth="1"/>
  </cols>
  <sheetData>
    <row r="3" spans="2:4" x14ac:dyDescent="0.25">
      <c r="B3" s="79" t="s">
        <v>257</v>
      </c>
      <c r="C3" s="79" t="s">
        <v>258</v>
      </c>
      <c r="D3" s="79" t="s">
        <v>259</v>
      </c>
    </row>
    <row r="4" spans="2:4" x14ac:dyDescent="0.25">
      <c r="B4" s="79" t="s">
        <v>260</v>
      </c>
      <c r="C4" s="79">
        <v>123</v>
      </c>
      <c r="D4" s="79" t="s">
        <v>261</v>
      </c>
    </row>
    <row r="5" spans="2:4" x14ac:dyDescent="0.25">
      <c r="B5" s="79" t="s">
        <v>262</v>
      </c>
      <c r="C5" s="79">
        <v>234</v>
      </c>
      <c r="D5" s="79" t="s">
        <v>263</v>
      </c>
    </row>
    <row r="6" spans="2:4" x14ac:dyDescent="0.25">
      <c r="B6" s="79" t="s">
        <v>264</v>
      </c>
      <c r="C6" s="79">
        <v>1234</v>
      </c>
      <c r="D6" s="79" t="s">
        <v>261</v>
      </c>
    </row>
    <row r="7" spans="2:4" x14ac:dyDescent="0.25">
      <c r="B7" s="79" t="s">
        <v>265</v>
      </c>
      <c r="C7" s="79">
        <v>1110</v>
      </c>
      <c r="D7" s="79" t="s">
        <v>266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ception">
    <tabColor theme="1"/>
  </sheetPr>
  <dimension ref="A1:L67"/>
  <sheetViews>
    <sheetView showGridLines="0" tabSelected="1" zoomScale="90" zoomScaleNormal="90" workbookViewId="0">
      <selection activeCell="N14" sqref="N14"/>
    </sheetView>
  </sheetViews>
  <sheetFormatPr baseColWidth="10" defaultRowHeight="15" x14ac:dyDescent="0.25"/>
  <cols>
    <col min="1" max="1" width="22.5703125" customWidth="1"/>
    <col min="2" max="2" width="16.140625" style="79" customWidth="1"/>
    <col min="3" max="3" width="1.85546875" customWidth="1"/>
    <col min="4" max="4" width="21.7109375" customWidth="1"/>
    <col min="5" max="5" width="16.5703125" customWidth="1"/>
    <col min="6" max="6" width="12.7109375" customWidth="1"/>
    <col min="8" max="8" width="17.7109375" customWidth="1"/>
    <col min="9" max="9" width="16.28515625" customWidth="1"/>
    <col min="10" max="10" width="13.7109375" customWidth="1"/>
    <col min="11" max="11" width="10.42578125" customWidth="1"/>
    <col min="12" max="12" width="13.85546875" customWidth="1"/>
    <col min="13" max="13" width="3.5703125" customWidth="1"/>
  </cols>
  <sheetData>
    <row r="1" spans="1:12" x14ac:dyDescent="0.25">
      <c r="A1" s="29" t="s">
        <v>31</v>
      </c>
      <c r="B1" s="77">
        <v>20</v>
      </c>
      <c r="D1" s="33"/>
      <c r="E1" s="34"/>
      <c r="F1" s="34"/>
      <c r="G1" s="34"/>
      <c r="H1" s="34"/>
      <c r="I1" s="34"/>
      <c r="J1" s="34"/>
      <c r="K1" s="34"/>
      <c r="L1" s="35"/>
    </row>
    <row r="2" spans="1:12" ht="30" x14ac:dyDescent="0.35">
      <c r="A2" s="29" t="s">
        <v>36</v>
      </c>
      <c r="B2" s="77" t="str">
        <f ca="1">IFERROR(MATCH(E2,ID_Ordres,0)+3,"")</f>
        <v/>
      </c>
      <c r="D2" s="76" t="s">
        <v>99</v>
      </c>
      <c r="E2" s="52"/>
      <c r="F2" s="48" t="s">
        <v>107</v>
      </c>
      <c r="G2" s="47"/>
      <c r="H2" s="47"/>
      <c r="I2" s="5"/>
      <c r="J2" s="5"/>
      <c r="K2" s="5" t="s">
        <v>97</v>
      </c>
      <c r="L2" s="19">
        <f>B1</f>
        <v>20</v>
      </c>
    </row>
    <row r="3" spans="1:12" ht="27.6" customHeight="1" x14ac:dyDescent="0.25">
      <c r="A3" s="29" t="s">
        <v>37</v>
      </c>
      <c r="B3" s="77">
        <f ca="1">IFERROR(MAX(ID_Ordres)+1,1)</f>
        <v>21</v>
      </c>
      <c r="D3" s="20"/>
      <c r="E3" s="5"/>
      <c r="F3" s="5"/>
      <c r="G3" s="5"/>
      <c r="H3" s="5"/>
      <c r="I3" s="5"/>
      <c r="J3" s="31" t="s">
        <v>98</v>
      </c>
      <c r="K3" s="111">
        <f>SUM(G:G)</f>
        <v>0.95354166666666673</v>
      </c>
      <c r="L3" s="19"/>
    </row>
    <row r="4" spans="1:12" ht="19.149999999999999" customHeight="1" x14ac:dyDescent="0.25">
      <c r="A4" s="29" t="s">
        <v>38</v>
      </c>
      <c r="B4" s="77" t="str">
        <f ca="1">IFERROR(MATCH(#REF!,Nom_Chauffeurs,0)+3,"")</f>
        <v/>
      </c>
      <c r="D4" s="20"/>
      <c r="E4" s="11">
        <v>45070</v>
      </c>
      <c r="F4" s="6"/>
      <c r="G4" s="12">
        <v>0.95354166666666673</v>
      </c>
      <c r="H4" s="5"/>
      <c r="I4" s="6"/>
      <c r="J4" s="10"/>
      <c r="K4" s="5"/>
      <c r="L4" s="36"/>
    </row>
    <row r="5" spans="1:12" x14ac:dyDescent="0.25">
      <c r="A5" s="29" t="s">
        <v>39</v>
      </c>
      <c r="B5" s="77" t="str">
        <f ca="1">IFERROR(MATCH(L4,Nom_Camions,0)+3,"")</f>
        <v/>
      </c>
      <c r="D5" s="20"/>
      <c r="E5" s="5"/>
      <c r="F5" s="5"/>
      <c r="G5" s="5"/>
      <c r="H5" s="5"/>
      <c r="I5" s="5"/>
      <c r="J5" s="5"/>
      <c r="K5" s="5"/>
      <c r="L5" s="19"/>
    </row>
    <row r="6" spans="1:12" ht="18" customHeight="1" x14ac:dyDescent="0.3">
      <c r="A6" s="29" t="s">
        <v>40</v>
      </c>
      <c r="B6" s="77">
        <f ca="1">IFERROR(IF(D6="Fournisseur",MATCH(E6,Nom_Fournisseurs,0)+3,MATCH(E6,Nom_Magasins,0)+3),)</f>
        <v>0</v>
      </c>
      <c r="D6" s="37" t="s">
        <v>33</v>
      </c>
      <c r="E6" s="15"/>
      <c r="F6" s="5"/>
      <c r="G6" s="7" t="s">
        <v>79</v>
      </c>
      <c r="H6" s="14"/>
      <c r="I6" s="5"/>
      <c r="J6" s="5"/>
      <c r="K6" s="5"/>
      <c r="L6" s="19"/>
    </row>
    <row r="7" spans="1:12" x14ac:dyDescent="0.25">
      <c r="A7" s="29" t="s">
        <v>41</v>
      </c>
      <c r="B7" s="77">
        <f ca="1">IFERROR(MATCH(H6,Nom_Magasins,0)+3,0)</f>
        <v>0</v>
      </c>
      <c r="D7" s="20"/>
      <c r="E7" s="15"/>
      <c r="F7" s="5"/>
      <c r="G7" s="5"/>
      <c r="H7" s="13"/>
      <c r="I7" s="5"/>
      <c r="J7" s="5"/>
      <c r="K7" s="5"/>
      <c r="L7" s="19"/>
    </row>
    <row r="8" spans="1:12" ht="15.75" thickBot="1" x14ac:dyDescent="0.3">
      <c r="A8" s="29" t="s">
        <v>42</v>
      </c>
      <c r="B8" s="77">
        <f ca="1">IFERROR(MATCH(E2,ID_Ordres,0)+3,0)</f>
        <v>0</v>
      </c>
      <c r="D8" s="21"/>
      <c r="E8" s="38"/>
      <c r="F8" s="22"/>
      <c r="G8" s="22"/>
      <c r="H8" s="38"/>
      <c r="I8" s="22"/>
      <c r="J8" s="22"/>
      <c r="K8" s="22"/>
      <c r="L8" s="23"/>
    </row>
    <row r="9" spans="1:12" ht="15.75" thickBot="1" x14ac:dyDescent="0.3">
      <c r="A9" s="29" t="s">
        <v>43</v>
      </c>
      <c r="B9" s="77" t="b">
        <v>0</v>
      </c>
    </row>
    <row r="10" spans="1:12" s="1" customFormat="1" ht="18.75" x14ac:dyDescent="0.3">
      <c r="A10" s="30"/>
      <c r="B10" s="78"/>
      <c r="D10" s="16" t="s">
        <v>34</v>
      </c>
      <c r="E10" s="17"/>
      <c r="F10" s="17"/>
      <c r="G10" s="17"/>
      <c r="H10" s="17"/>
      <c r="I10" s="17"/>
      <c r="J10" s="17"/>
      <c r="K10" s="17"/>
      <c r="L10" s="18"/>
    </row>
    <row r="11" spans="1:12" s="1" customFormat="1" x14ac:dyDescent="0.25">
      <c r="A11" s="30" t="s">
        <v>100</v>
      </c>
      <c r="B11" s="78" t="s">
        <v>93</v>
      </c>
      <c r="D11" s="24" t="s">
        <v>88</v>
      </c>
      <c r="E11" s="25" t="s">
        <v>32</v>
      </c>
      <c r="F11" s="25" t="s">
        <v>85</v>
      </c>
      <c r="G11" s="25" t="s">
        <v>87</v>
      </c>
      <c r="H11" s="25" t="str">
        <f>"Du "&amp;D6</f>
        <v>Du Magasin</v>
      </c>
      <c r="I11" s="25" t="s">
        <v>23</v>
      </c>
      <c r="J11" s="26" t="s">
        <v>30</v>
      </c>
      <c r="K11" s="27"/>
      <c r="L11" s="28"/>
    </row>
    <row r="12" spans="1:12" x14ac:dyDescent="0.25">
      <c r="A12" s="29"/>
      <c r="B12" s="77"/>
      <c r="D12" s="40"/>
      <c r="E12" s="41"/>
      <c r="F12" s="41"/>
      <c r="G12" s="41"/>
      <c r="H12" s="8"/>
      <c r="I12" s="9"/>
      <c r="J12" s="9"/>
      <c r="K12" s="9"/>
      <c r="L12" s="42"/>
    </row>
    <row r="13" spans="1:12" x14ac:dyDescent="0.25">
      <c r="A13" s="29"/>
      <c r="B13" s="77"/>
      <c r="D13" s="40"/>
      <c r="E13" s="41"/>
      <c r="F13" s="41"/>
      <c r="G13" s="41"/>
      <c r="H13" s="8"/>
      <c r="I13" s="9"/>
      <c r="J13" s="9"/>
      <c r="K13" s="9"/>
      <c r="L13" s="42"/>
    </row>
    <row r="14" spans="1:12" x14ac:dyDescent="0.25">
      <c r="A14" s="29"/>
      <c r="B14" s="77"/>
      <c r="D14" s="40"/>
      <c r="E14" s="41"/>
      <c r="F14" s="41"/>
      <c r="G14" s="41"/>
      <c r="H14" s="8"/>
      <c r="I14" s="9"/>
      <c r="J14" s="9"/>
      <c r="K14" s="9"/>
      <c r="L14" s="42"/>
    </row>
    <row r="15" spans="1:12" x14ac:dyDescent="0.25">
      <c r="A15" s="29"/>
      <c r="B15" s="77"/>
      <c r="D15" s="40"/>
      <c r="E15" s="41"/>
      <c r="F15" s="41"/>
      <c r="G15" s="41"/>
      <c r="H15" s="8"/>
      <c r="I15" s="9"/>
      <c r="J15" s="9"/>
      <c r="K15" s="9"/>
      <c r="L15" s="42"/>
    </row>
    <row r="16" spans="1:12" x14ac:dyDescent="0.25">
      <c r="A16" s="29"/>
      <c r="B16" s="77"/>
      <c r="D16" s="40"/>
      <c r="E16" s="41"/>
      <c r="F16" s="41"/>
      <c r="G16" s="41"/>
      <c r="H16" s="8"/>
      <c r="I16" s="9"/>
      <c r="J16" s="9"/>
      <c r="K16" s="9"/>
      <c r="L16" s="42"/>
    </row>
    <row r="17" spans="1:12" x14ac:dyDescent="0.25">
      <c r="A17" s="29"/>
      <c r="B17" s="77"/>
      <c r="D17" s="40"/>
      <c r="E17" s="9"/>
      <c r="F17" s="9"/>
      <c r="G17" s="9"/>
      <c r="H17" s="8"/>
      <c r="I17" s="9"/>
      <c r="J17" s="9"/>
      <c r="K17" s="9"/>
      <c r="L17" s="42"/>
    </row>
    <row r="18" spans="1:12" x14ac:dyDescent="0.25">
      <c r="A18" s="29"/>
      <c r="B18" s="77"/>
      <c r="D18" s="40"/>
      <c r="E18" s="9"/>
      <c r="F18" s="9"/>
      <c r="G18" s="9"/>
      <c r="H18" s="8"/>
      <c r="I18" s="9"/>
      <c r="J18" s="9"/>
      <c r="K18" s="9"/>
      <c r="L18" s="42"/>
    </row>
    <row r="19" spans="1:12" x14ac:dyDescent="0.25">
      <c r="A19" s="29"/>
      <c r="B19" s="77"/>
      <c r="D19" s="40"/>
      <c r="E19" s="9"/>
      <c r="F19" s="9"/>
      <c r="G19" s="9"/>
      <c r="H19" s="9"/>
      <c r="I19" s="9"/>
      <c r="J19" s="9"/>
      <c r="K19" s="9"/>
      <c r="L19" s="42"/>
    </row>
    <row r="20" spans="1:12" x14ac:dyDescent="0.25">
      <c r="A20" s="29"/>
      <c r="B20" s="77"/>
      <c r="D20" s="40"/>
      <c r="E20" s="9"/>
      <c r="F20" s="9"/>
      <c r="G20" s="9"/>
      <c r="H20" s="9"/>
      <c r="I20" s="9"/>
      <c r="J20" s="9"/>
      <c r="K20" s="9"/>
      <c r="L20" s="42"/>
    </row>
    <row r="21" spans="1:12" x14ac:dyDescent="0.25">
      <c r="A21" s="29"/>
      <c r="B21" s="77"/>
      <c r="D21" s="40"/>
      <c r="E21" s="9"/>
      <c r="F21" s="9"/>
      <c r="G21" s="9"/>
      <c r="H21" s="9"/>
      <c r="I21" s="9"/>
      <c r="J21" s="9"/>
      <c r="K21" s="9"/>
      <c r="L21" s="42"/>
    </row>
    <row r="22" spans="1:12" x14ac:dyDescent="0.25">
      <c r="A22" s="29"/>
      <c r="B22" s="77"/>
      <c r="D22" s="43"/>
      <c r="E22" s="9"/>
      <c r="F22" s="9"/>
      <c r="G22" s="9"/>
      <c r="H22" s="9"/>
      <c r="I22" s="9"/>
      <c r="J22" s="9"/>
      <c r="K22" s="9"/>
      <c r="L22" s="42"/>
    </row>
    <row r="23" spans="1:12" x14ac:dyDescent="0.25">
      <c r="A23" s="29"/>
      <c r="B23" s="77"/>
      <c r="D23" s="43"/>
      <c r="E23" s="9"/>
      <c r="F23" s="9"/>
      <c r="G23" s="9"/>
      <c r="H23" s="9"/>
      <c r="I23" s="9"/>
      <c r="J23" s="9"/>
      <c r="K23" s="9"/>
      <c r="L23" s="42"/>
    </row>
    <row r="24" spans="1:12" x14ac:dyDescent="0.25">
      <c r="A24" s="29"/>
      <c r="B24" s="77"/>
      <c r="D24" s="43"/>
      <c r="E24" s="9"/>
      <c r="F24" s="9"/>
      <c r="G24" s="9"/>
      <c r="H24" s="9"/>
      <c r="I24" s="9"/>
      <c r="J24" s="9"/>
      <c r="K24" s="9"/>
      <c r="L24" s="42"/>
    </row>
    <row r="25" spans="1:12" x14ac:dyDescent="0.25">
      <c r="A25" s="29"/>
      <c r="B25" s="77"/>
      <c r="D25" s="43"/>
      <c r="E25" s="9"/>
      <c r="F25" s="9"/>
      <c r="G25" s="9"/>
      <c r="H25" s="9"/>
      <c r="I25" s="9"/>
      <c r="J25" s="9"/>
      <c r="K25" s="9"/>
      <c r="L25" s="42"/>
    </row>
    <row r="26" spans="1:12" x14ac:dyDescent="0.25">
      <c r="A26" s="29"/>
      <c r="B26" s="77"/>
      <c r="D26" s="43"/>
      <c r="E26" s="9"/>
      <c r="F26" s="9"/>
      <c r="G26" s="9"/>
      <c r="H26" s="9"/>
      <c r="I26" s="9"/>
      <c r="J26" s="9"/>
      <c r="K26" s="9"/>
      <c r="L26" s="42"/>
    </row>
    <row r="27" spans="1:12" x14ac:dyDescent="0.25">
      <c r="A27" s="29"/>
      <c r="B27" s="77"/>
      <c r="D27" s="43"/>
      <c r="E27" s="9"/>
      <c r="F27" s="9"/>
      <c r="G27" s="9"/>
      <c r="H27" s="9"/>
      <c r="I27" s="9"/>
      <c r="J27" s="9"/>
      <c r="K27" s="9"/>
      <c r="L27" s="42"/>
    </row>
    <row r="28" spans="1:12" x14ac:dyDescent="0.25">
      <c r="A28" s="29"/>
      <c r="B28" s="77"/>
      <c r="D28" s="43"/>
      <c r="E28" s="9"/>
      <c r="F28" s="9"/>
      <c r="G28" s="9"/>
      <c r="H28" s="9"/>
      <c r="I28" s="9"/>
      <c r="J28" s="9"/>
      <c r="K28" s="9"/>
      <c r="L28" s="42"/>
    </row>
    <row r="29" spans="1:12" x14ac:dyDescent="0.25">
      <c r="A29" s="29"/>
      <c r="B29" s="77"/>
      <c r="D29" s="43"/>
      <c r="E29" s="9"/>
      <c r="F29" s="9"/>
      <c r="G29" s="9"/>
      <c r="H29" s="9"/>
      <c r="I29" s="9"/>
      <c r="J29" s="9"/>
      <c r="K29" s="9"/>
      <c r="L29" s="42"/>
    </row>
    <row r="30" spans="1:12" x14ac:dyDescent="0.25">
      <c r="A30" s="29"/>
      <c r="B30" s="77"/>
      <c r="D30" s="43"/>
      <c r="E30" s="9"/>
      <c r="F30" s="9"/>
      <c r="G30" s="9"/>
      <c r="H30" s="9"/>
      <c r="I30" s="9"/>
      <c r="J30" s="9"/>
      <c r="K30" s="9"/>
      <c r="L30" s="42"/>
    </row>
    <row r="31" spans="1:12" x14ac:dyDescent="0.25">
      <c r="A31" s="29"/>
      <c r="B31" s="77"/>
      <c r="D31" s="43"/>
      <c r="E31" s="9"/>
      <c r="F31" s="9"/>
      <c r="G31" s="9"/>
      <c r="H31" s="9"/>
      <c r="I31" s="9"/>
      <c r="J31" s="9"/>
      <c r="K31" s="9"/>
      <c r="L31" s="42"/>
    </row>
    <row r="32" spans="1:12" x14ac:dyDescent="0.25">
      <c r="A32" s="29"/>
      <c r="B32" s="77"/>
      <c r="D32" s="43"/>
      <c r="E32" s="9"/>
      <c r="F32" s="9"/>
      <c r="G32" s="9"/>
      <c r="H32" s="9"/>
      <c r="I32" s="9"/>
      <c r="J32" s="9"/>
      <c r="K32" s="9"/>
      <c r="L32" s="42"/>
    </row>
    <row r="33" spans="1:12" x14ac:dyDescent="0.25">
      <c r="A33" s="29"/>
      <c r="B33" s="77"/>
      <c r="D33" s="43"/>
      <c r="E33" s="9"/>
      <c r="F33" s="9"/>
      <c r="G33" s="9"/>
      <c r="H33" s="9"/>
      <c r="I33" s="9"/>
      <c r="J33" s="9"/>
      <c r="K33" s="9"/>
      <c r="L33" s="42"/>
    </row>
    <row r="34" spans="1:12" x14ac:dyDescent="0.25">
      <c r="A34" s="29"/>
      <c r="B34" s="77"/>
      <c r="D34" s="43"/>
      <c r="E34" s="9"/>
      <c r="F34" s="9"/>
      <c r="G34" s="9"/>
      <c r="H34" s="9"/>
      <c r="I34" s="9"/>
      <c r="J34" s="9"/>
      <c r="K34" s="9"/>
      <c r="L34" s="42"/>
    </row>
    <row r="35" spans="1:12" x14ac:dyDescent="0.25">
      <c r="A35" s="29"/>
      <c r="B35" s="77"/>
      <c r="D35" s="43"/>
      <c r="E35" s="9"/>
      <c r="F35" s="9"/>
      <c r="G35" s="9"/>
      <c r="H35" s="9"/>
      <c r="I35" s="9"/>
      <c r="J35" s="9"/>
      <c r="K35" s="9"/>
      <c r="L35" s="42"/>
    </row>
    <row r="36" spans="1:12" x14ac:dyDescent="0.25">
      <c r="A36" s="29"/>
      <c r="B36" s="77"/>
      <c r="D36" s="43"/>
      <c r="E36" s="9"/>
      <c r="F36" s="9"/>
      <c r="G36" s="9"/>
      <c r="H36" s="9"/>
      <c r="I36" s="9"/>
      <c r="J36" s="9"/>
      <c r="K36" s="9"/>
      <c r="L36" s="42"/>
    </row>
    <row r="37" spans="1:12" x14ac:dyDescent="0.25">
      <c r="A37" s="29"/>
      <c r="B37" s="77"/>
      <c r="D37" s="43"/>
      <c r="E37" s="9"/>
      <c r="F37" s="9"/>
      <c r="G37" s="9"/>
      <c r="H37" s="9"/>
      <c r="I37" s="9"/>
      <c r="J37" s="9"/>
      <c r="K37" s="9"/>
      <c r="L37" s="42"/>
    </row>
    <row r="38" spans="1:12" x14ac:dyDescent="0.25">
      <c r="A38" s="29"/>
      <c r="B38" s="77"/>
      <c r="D38" s="43"/>
      <c r="E38" s="9"/>
      <c r="F38" s="9"/>
      <c r="G38" s="9"/>
      <c r="H38" s="9"/>
      <c r="I38" s="9"/>
      <c r="J38" s="9"/>
      <c r="K38" s="9"/>
      <c r="L38" s="42"/>
    </row>
    <row r="39" spans="1:12" x14ac:dyDescent="0.25">
      <c r="A39" s="29"/>
      <c r="B39" s="77"/>
      <c r="D39" s="43"/>
      <c r="E39" s="9"/>
      <c r="F39" s="9"/>
      <c r="G39" s="9"/>
      <c r="H39" s="9"/>
      <c r="I39" s="9"/>
      <c r="J39" s="9"/>
      <c r="K39" s="9"/>
      <c r="L39" s="42"/>
    </row>
    <row r="40" spans="1:12" x14ac:dyDescent="0.25">
      <c r="A40" s="29"/>
      <c r="B40" s="77"/>
      <c r="D40" s="43"/>
      <c r="E40" s="9"/>
      <c r="F40" s="9"/>
      <c r="G40" s="9"/>
      <c r="H40" s="9"/>
      <c r="I40" s="9"/>
      <c r="J40" s="9"/>
      <c r="K40" s="9"/>
      <c r="L40" s="42"/>
    </row>
    <row r="41" spans="1:12" x14ac:dyDescent="0.25">
      <c r="A41" s="29"/>
      <c r="B41" s="77"/>
      <c r="D41" s="43"/>
      <c r="E41" s="9"/>
      <c r="F41" s="9"/>
      <c r="G41" s="9"/>
      <c r="H41" s="9"/>
      <c r="I41" s="9"/>
      <c r="J41" s="9"/>
      <c r="K41" s="9"/>
      <c r="L41" s="42"/>
    </row>
    <row r="42" spans="1:12" x14ac:dyDescent="0.25">
      <c r="A42" s="29"/>
      <c r="B42" s="77"/>
      <c r="D42" s="43"/>
      <c r="E42" s="9"/>
      <c r="F42" s="9"/>
      <c r="G42" s="9"/>
      <c r="H42" s="9"/>
      <c r="I42" s="9"/>
      <c r="J42" s="9"/>
      <c r="K42" s="9"/>
      <c r="L42" s="42"/>
    </row>
    <row r="43" spans="1:12" x14ac:dyDescent="0.25">
      <c r="A43" s="29"/>
      <c r="B43" s="77"/>
      <c r="D43" s="43"/>
      <c r="E43" s="9"/>
      <c r="F43" s="9"/>
      <c r="G43" s="9"/>
      <c r="H43" s="9"/>
      <c r="I43" s="9"/>
      <c r="J43" s="9"/>
      <c r="K43" s="9"/>
      <c r="L43" s="42"/>
    </row>
    <row r="44" spans="1:12" x14ac:dyDescent="0.25">
      <c r="A44" s="29"/>
      <c r="B44" s="77"/>
      <c r="D44" s="43"/>
      <c r="E44" s="9"/>
      <c r="F44" s="9"/>
      <c r="G44" s="9"/>
      <c r="H44" s="9"/>
      <c r="I44" s="9"/>
      <c r="J44" s="9"/>
      <c r="K44" s="9"/>
      <c r="L44" s="42"/>
    </row>
    <row r="45" spans="1:12" x14ac:dyDescent="0.25">
      <c r="A45" s="29"/>
      <c r="B45" s="77"/>
      <c r="D45" s="43"/>
      <c r="E45" s="9"/>
      <c r="F45" s="9"/>
      <c r="G45" s="9"/>
      <c r="H45" s="9"/>
      <c r="I45" s="9"/>
      <c r="J45" s="9"/>
      <c r="K45" s="9"/>
      <c r="L45" s="42"/>
    </row>
    <row r="46" spans="1:12" x14ac:dyDescent="0.25">
      <c r="A46" s="29"/>
      <c r="B46" s="77"/>
      <c r="D46" s="43"/>
      <c r="E46" s="9"/>
      <c r="F46" s="9"/>
      <c r="G46" s="9"/>
      <c r="H46" s="9"/>
      <c r="I46" s="9"/>
      <c r="J46" s="9"/>
      <c r="K46" s="9"/>
      <c r="L46" s="42"/>
    </row>
    <row r="47" spans="1:12" x14ac:dyDescent="0.25">
      <c r="A47" s="29"/>
      <c r="B47" s="77"/>
      <c r="D47" s="43"/>
      <c r="E47" s="9"/>
      <c r="F47" s="9"/>
      <c r="G47" s="9"/>
      <c r="H47" s="9"/>
      <c r="I47" s="9"/>
      <c r="J47" s="9"/>
      <c r="K47" s="9"/>
      <c r="L47" s="42"/>
    </row>
    <row r="48" spans="1:12" x14ac:dyDescent="0.25">
      <c r="A48" s="29"/>
      <c r="B48" s="77"/>
      <c r="D48" s="43"/>
      <c r="E48" s="9"/>
      <c r="F48" s="9"/>
      <c r="G48" s="9"/>
      <c r="H48" s="9"/>
      <c r="I48" s="9"/>
      <c r="J48" s="9"/>
      <c r="K48" s="9"/>
      <c r="L48" s="42"/>
    </row>
    <row r="49" spans="1:12" x14ac:dyDescent="0.25">
      <c r="A49" s="29"/>
      <c r="B49" s="77"/>
      <c r="D49" s="43"/>
      <c r="E49" s="9"/>
      <c r="F49" s="9"/>
      <c r="G49" s="9"/>
      <c r="H49" s="9"/>
      <c r="I49" s="9"/>
      <c r="J49" s="9"/>
      <c r="K49" s="9"/>
      <c r="L49" s="42"/>
    </row>
    <row r="50" spans="1:12" x14ac:dyDescent="0.25">
      <c r="A50" s="29"/>
      <c r="B50" s="77"/>
      <c r="D50" s="43"/>
      <c r="E50" s="9"/>
      <c r="F50" s="9"/>
      <c r="G50" s="9"/>
      <c r="H50" s="9"/>
      <c r="I50" s="9"/>
      <c r="J50" s="9"/>
      <c r="K50" s="9"/>
      <c r="L50" s="42"/>
    </row>
    <row r="51" spans="1:12" x14ac:dyDescent="0.25">
      <c r="A51" s="29"/>
      <c r="B51" s="77"/>
      <c r="D51" s="43"/>
      <c r="E51" s="9"/>
      <c r="F51" s="9"/>
      <c r="G51" s="9"/>
      <c r="H51" s="9"/>
      <c r="I51" s="9"/>
      <c r="J51" s="9"/>
      <c r="K51" s="9"/>
      <c r="L51" s="42"/>
    </row>
    <row r="52" spans="1:12" x14ac:dyDescent="0.25">
      <c r="A52" s="29"/>
      <c r="B52" s="77"/>
      <c r="D52" s="43"/>
      <c r="E52" s="9"/>
      <c r="F52" s="9"/>
      <c r="G52" s="9"/>
      <c r="H52" s="9"/>
      <c r="I52" s="9"/>
      <c r="J52" s="9"/>
      <c r="K52" s="9"/>
      <c r="L52" s="42"/>
    </row>
    <row r="53" spans="1:12" x14ac:dyDescent="0.25">
      <c r="A53" s="29"/>
      <c r="B53" s="77"/>
      <c r="D53" s="43"/>
      <c r="E53" s="9"/>
      <c r="F53" s="9"/>
      <c r="G53" s="9"/>
      <c r="H53" s="9"/>
      <c r="I53" s="9"/>
      <c r="J53" s="9"/>
      <c r="K53" s="9"/>
      <c r="L53" s="42"/>
    </row>
    <row r="54" spans="1:12" x14ac:dyDescent="0.25">
      <c r="A54" s="29"/>
      <c r="B54" s="77"/>
      <c r="D54" s="43"/>
      <c r="E54" s="9"/>
      <c r="F54" s="9"/>
      <c r="G54" s="9"/>
      <c r="H54" s="9"/>
      <c r="I54" s="9"/>
      <c r="J54" s="9"/>
      <c r="K54" s="9"/>
      <c r="L54" s="42"/>
    </row>
    <row r="55" spans="1:12" x14ac:dyDescent="0.25">
      <c r="A55" s="29"/>
      <c r="B55" s="77"/>
      <c r="D55" s="43"/>
      <c r="E55" s="9"/>
      <c r="F55" s="9"/>
      <c r="G55" s="9"/>
      <c r="H55" s="9"/>
      <c r="I55" s="9"/>
      <c r="J55" s="9"/>
      <c r="K55" s="9"/>
      <c r="L55" s="42"/>
    </row>
    <row r="56" spans="1:12" x14ac:dyDescent="0.25">
      <c r="A56" s="29"/>
      <c r="B56" s="77"/>
      <c r="D56" s="43"/>
      <c r="E56" s="9"/>
      <c r="F56" s="9"/>
      <c r="G56" s="9"/>
      <c r="H56" s="9"/>
      <c r="I56" s="9"/>
      <c r="J56" s="9"/>
      <c r="K56" s="9"/>
      <c r="L56" s="42"/>
    </row>
    <row r="57" spans="1:12" x14ac:dyDescent="0.25">
      <c r="A57" s="29"/>
      <c r="B57" s="77"/>
      <c r="D57" s="43"/>
      <c r="E57" s="9"/>
      <c r="F57" s="9"/>
      <c r="G57" s="9"/>
      <c r="H57" s="9"/>
      <c r="I57" s="9"/>
      <c r="J57" s="9"/>
      <c r="K57" s="9"/>
      <c r="L57" s="42"/>
    </row>
    <row r="58" spans="1:12" x14ac:dyDescent="0.25">
      <c r="A58" s="29"/>
      <c r="B58" s="77"/>
      <c r="D58" s="43"/>
      <c r="E58" s="9"/>
      <c r="F58" s="9"/>
      <c r="G58" s="9"/>
      <c r="H58" s="9"/>
      <c r="I58" s="9"/>
      <c r="J58" s="9"/>
      <c r="K58" s="9"/>
      <c r="L58" s="42"/>
    </row>
    <row r="59" spans="1:12" x14ac:dyDescent="0.25">
      <c r="A59" s="29"/>
      <c r="B59" s="77"/>
      <c r="D59" s="43"/>
      <c r="E59" s="9"/>
      <c r="F59" s="9"/>
      <c r="G59" s="9"/>
      <c r="H59" s="9"/>
      <c r="I59" s="9"/>
      <c r="J59" s="9"/>
      <c r="K59" s="9"/>
      <c r="L59" s="42"/>
    </row>
    <row r="60" spans="1:12" x14ac:dyDescent="0.25">
      <c r="A60" s="29"/>
      <c r="B60" s="77"/>
      <c r="D60" s="43"/>
      <c r="E60" s="9"/>
      <c r="F60" s="9"/>
      <c r="G60" s="9"/>
      <c r="H60" s="9"/>
      <c r="I60" s="9"/>
      <c r="J60" s="9"/>
      <c r="K60" s="9"/>
      <c r="L60" s="42"/>
    </row>
    <row r="61" spans="1:12" x14ac:dyDescent="0.25">
      <c r="A61" s="29"/>
      <c r="B61" s="77"/>
      <c r="D61" s="43"/>
      <c r="E61" s="9"/>
      <c r="F61" s="9"/>
      <c r="G61" s="9"/>
      <c r="H61" s="9"/>
      <c r="I61" s="9"/>
      <c r="J61" s="9"/>
      <c r="K61" s="9"/>
      <c r="L61" s="42"/>
    </row>
    <row r="62" spans="1:12" x14ac:dyDescent="0.25">
      <c r="A62" s="29"/>
      <c r="B62" s="77"/>
      <c r="D62" s="43"/>
      <c r="E62" s="9"/>
      <c r="F62" s="9"/>
      <c r="G62" s="9"/>
      <c r="H62" s="9"/>
      <c r="I62" s="9"/>
      <c r="J62" s="9"/>
      <c r="K62" s="9"/>
      <c r="L62" s="42"/>
    </row>
    <row r="63" spans="1:12" x14ac:dyDescent="0.25">
      <c r="A63" s="29"/>
      <c r="B63" s="77"/>
      <c r="D63" s="43"/>
      <c r="E63" s="9"/>
      <c r="F63" s="9"/>
      <c r="G63" s="9"/>
      <c r="H63" s="9"/>
      <c r="I63" s="9"/>
      <c r="J63" s="9"/>
      <c r="K63" s="9"/>
      <c r="L63" s="42"/>
    </row>
    <row r="64" spans="1:12" x14ac:dyDescent="0.25">
      <c r="A64" s="29"/>
      <c r="B64" s="77"/>
      <c r="D64" s="43"/>
      <c r="E64" s="9"/>
      <c r="F64" s="9"/>
      <c r="G64" s="9"/>
      <c r="H64" s="9"/>
      <c r="I64" s="9"/>
      <c r="J64" s="9"/>
      <c r="K64" s="9"/>
      <c r="L64" s="42"/>
    </row>
    <row r="65" spans="1:12" x14ac:dyDescent="0.25">
      <c r="A65" s="29"/>
      <c r="B65" s="77"/>
      <c r="D65" s="43"/>
      <c r="E65" s="9"/>
      <c r="F65" s="9"/>
      <c r="G65" s="9"/>
      <c r="H65" s="9"/>
      <c r="I65" s="9"/>
      <c r="J65" s="9"/>
      <c r="K65" s="9"/>
      <c r="L65" s="42"/>
    </row>
    <row r="66" spans="1:12" x14ac:dyDescent="0.25">
      <c r="A66" s="29"/>
      <c r="B66" s="77"/>
      <c r="D66" s="43"/>
      <c r="E66" s="9"/>
      <c r="F66" s="9"/>
      <c r="G66" s="9"/>
      <c r="H66" s="9"/>
      <c r="I66" s="9"/>
      <c r="J66" s="9"/>
      <c r="K66" s="9"/>
      <c r="L66" s="42"/>
    </row>
    <row r="67" spans="1:12" ht="15.75" thickBot="1" x14ac:dyDescent="0.3">
      <c r="A67" s="29"/>
      <c r="B67" s="77"/>
      <c r="D67" s="44"/>
      <c r="E67" s="45"/>
      <c r="F67" s="45"/>
      <c r="G67" s="45"/>
      <c r="H67" s="45"/>
      <c r="I67" s="45"/>
      <c r="J67" s="45"/>
      <c r="K67" s="45"/>
      <c r="L67" s="46"/>
    </row>
  </sheetData>
  <conditionalFormatting sqref="D12:L67">
    <cfRule type="expression" dxfId="18" priority="1">
      <formula>AND($D12&lt;&gt;"",MOD(ROW(),2)=0)</formula>
    </cfRule>
  </conditionalFormatting>
  <dataValidations xWindow="667" yWindow="479" count="7">
    <dataValidation type="list" allowBlank="1" showInputMessage="1" showErrorMessage="1" sqref="D6">
      <formula1>"Fournisseur,Magasin"</formula1>
    </dataValidation>
    <dataValidation type="list" allowBlank="1" showInputMessage="1" showErrorMessage="1" sqref="D12:D21">
      <formula1>Nom_Articles</formula1>
    </dataValidation>
    <dataValidation type="list" allowBlank="1" showInputMessage="1" showErrorMessage="1" sqref="H12:H100 E7:E8">
      <formula1>Nom_Fournisseurs</formula1>
    </dataValidation>
    <dataValidation type="list" allowBlank="1" showInputMessage="1" showErrorMessage="1" prompt="Sélectionner le nom du chauffeur" sqref="J4">
      <formula1>Nom_Chauffeurs</formula1>
    </dataValidation>
    <dataValidation type="list" allowBlank="1" showInputMessage="1" showErrorMessage="1" prompt="Sélectionner le nom du Camion" sqref="L4">
      <formula1>Nom_Camions</formula1>
    </dataValidation>
    <dataValidation type="list" allowBlank="1" showInputMessage="1" showErrorMessage="1" prompt="Magasin de réception des colis" sqref="H6">
      <formula1>Nom_Magasins</formula1>
    </dataValidation>
    <dataValidation type="list" allowBlank="1" showInputMessage="1" showErrorMessage="1" sqref="E6">
      <formula1>Nom_Magasins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2" r:id="rId4" name="CommandButton1">
          <controlPr defaultSize="0" autoLine="0" r:id="rId5">
            <anchor moveWithCells="1">
              <from>
                <xdr:col>12</xdr:col>
                <xdr:colOff>28575</xdr:colOff>
                <xdr:row>0</xdr:row>
                <xdr:rowOff>0</xdr:rowOff>
              </from>
              <to>
                <xdr:col>13</xdr:col>
                <xdr:colOff>590550</xdr:colOff>
                <xdr:row>1</xdr:row>
                <xdr:rowOff>171450</xdr:rowOff>
              </to>
            </anchor>
          </controlPr>
        </control>
      </mc:Choice>
      <mc:Fallback>
        <control shapeId="20482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t">
    <tabColor theme="1"/>
  </sheetPr>
  <dimension ref="A1:L95"/>
  <sheetViews>
    <sheetView showGridLines="0" topLeftCell="A4" workbookViewId="0"/>
  </sheetViews>
  <sheetFormatPr baseColWidth="10" defaultRowHeight="15" x14ac:dyDescent="0.25"/>
  <cols>
    <col min="1" max="1" width="22.5703125" customWidth="1"/>
    <col min="2" max="2" width="16.140625" customWidth="1"/>
    <col min="3" max="3" width="1.85546875" customWidth="1"/>
    <col min="4" max="4" width="21.7109375" customWidth="1"/>
    <col min="5" max="5" width="16.5703125" customWidth="1"/>
    <col min="6" max="6" width="12.7109375" customWidth="1"/>
    <col min="8" max="8" width="17.7109375" customWidth="1"/>
    <col min="9" max="9" width="16" customWidth="1"/>
    <col min="10" max="10" width="13.7109375" customWidth="1"/>
    <col min="11" max="11" width="10.85546875" customWidth="1"/>
    <col min="13" max="13" width="3.5703125" customWidth="1"/>
  </cols>
  <sheetData>
    <row r="1" spans="1:12" x14ac:dyDescent="0.25">
      <c r="A1" s="29" t="s">
        <v>31</v>
      </c>
      <c r="B1" s="29">
        <v>19</v>
      </c>
      <c r="D1" s="33"/>
      <c r="E1" s="34"/>
      <c r="F1" s="34"/>
      <c r="G1" s="34"/>
      <c r="H1" s="34"/>
      <c r="I1" s="34"/>
      <c r="J1" s="34"/>
      <c r="K1" s="34"/>
      <c r="L1" s="35"/>
    </row>
    <row r="2" spans="1:12" ht="27" x14ac:dyDescent="0.25">
      <c r="A2" s="29" t="s">
        <v>36</v>
      </c>
      <c r="B2" s="29" t="str">
        <f ca="1">IFERROR(MATCH(E2,ID_Ordres,0)+3,"")</f>
        <v/>
      </c>
      <c r="D2" s="75" t="s">
        <v>99</v>
      </c>
      <c r="E2" s="10"/>
      <c r="F2" s="49" t="s">
        <v>108</v>
      </c>
      <c r="G2" s="50"/>
      <c r="H2" s="50"/>
      <c r="I2" s="5"/>
      <c r="J2" s="5"/>
      <c r="K2" s="5" t="s">
        <v>97</v>
      </c>
      <c r="L2" s="19">
        <f>B1</f>
        <v>19</v>
      </c>
    </row>
    <row r="3" spans="1:12" ht="27.6" customHeight="1" x14ac:dyDescent="0.25">
      <c r="A3" s="29" t="s">
        <v>37</v>
      </c>
      <c r="B3" s="29">
        <f ca="1">IFERROR(MAX(ID_Ordres)+1,1)</f>
        <v>21</v>
      </c>
      <c r="D3" s="20"/>
      <c r="E3" s="5"/>
      <c r="F3" s="5"/>
      <c r="G3" s="5"/>
      <c r="H3" s="5"/>
      <c r="I3" s="5"/>
      <c r="J3" s="31" t="s">
        <v>98</v>
      </c>
      <c r="K3" s="32">
        <f>SUM(G:G)</f>
        <v>0.89322916666666663</v>
      </c>
      <c r="L3" s="19"/>
    </row>
    <row r="4" spans="1:12" ht="19.149999999999999" customHeight="1" x14ac:dyDescent="0.25">
      <c r="A4" s="29" t="s">
        <v>38</v>
      </c>
      <c r="B4" s="29" t="str">
        <f ca="1">IFERROR(MATCH(#REF!,Nom_Chauffeurs,0)+3,"")</f>
        <v/>
      </c>
      <c r="D4" s="20"/>
      <c r="E4" s="64">
        <v>45070</v>
      </c>
      <c r="F4" s="6"/>
      <c r="G4" s="65">
        <v>0.89322916666666663</v>
      </c>
      <c r="H4" s="5"/>
      <c r="I4" s="6"/>
      <c r="J4" s="66"/>
      <c r="K4" s="5"/>
      <c r="L4" s="67"/>
    </row>
    <row r="5" spans="1:12" x14ac:dyDescent="0.25">
      <c r="A5" s="29" t="s">
        <v>39</v>
      </c>
      <c r="B5" s="29" t="str">
        <f ca="1">IFERROR(MATCH(L4,Nom_Camions,0)+3,"")</f>
        <v/>
      </c>
      <c r="D5" s="20"/>
      <c r="E5" s="5"/>
      <c r="F5" s="5"/>
      <c r="G5" s="5"/>
      <c r="H5" s="5"/>
      <c r="I5" s="5"/>
      <c r="J5" s="5"/>
      <c r="K5" s="5"/>
      <c r="L5" s="19"/>
    </row>
    <row r="6" spans="1:12" ht="18" customHeight="1" x14ac:dyDescent="0.25">
      <c r="A6" s="29" t="s">
        <v>110</v>
      </c>
      <c r="B6" s="29">
        <f ca="1">IFERROR(MATCH(E6,Nom_Magasins,0)+3,)</f>
        <v>0</v>
      </c>
      <c r="D6" s="51" t="s">
        <v>33</v>
      </c>
      <c r="E6" s="15"/>
      <c r="F6" s="5" t="s">
        <v>109</v>
      </c>
      <c r="G6" s="98" t="s">
        <v>281</v>
      </c>
      <c r="H6" s="14"/>
      <c r="I6" s="5"/>
      <c r="J6" s="5"/>
      <c r="K6" s="5"/>
      <c r="L6" s="19"/>
    </row>
    <row r="7" spans="1:12" x14ac:dyDescent="0.25">
      <c r="A7" s="29" t="s">
        <v>111</v>
      </c>
      <c r="B7" s="29">
        <f ca="1">IFERROR(IF(G6="Client",MATCH(H6,Nom_Clients,0)+3,MATCH(H6,Nom_Magasins,0)+3),0)</f>
        <v>0</v>
      </c>
      <c r="D7" s="20"/>
      <c r="E7" s="15"/>
      <c r="F7" s="5"/>
      <c r="G7" s="5"/>
      <c r="H7" s="13"/>
      <c r="I7" s="5"/>
      <c r="J7" s="5"/>
      <c r="K7" s="5"/>
      <c r="L7" s="19"/>
    </row>
    <row r="8" spans="1:12" ht="15.75" thickBot="1" x14ac:dyDescent="0.3">
      <c r="A8" s="29" t="s">
        <v>42</v>
      </c>
      <c r="B8" s="29">
        <f ca="1">IFERROR(MATCH(E2,ID_Ordres,0)+3,0)</f>
        <v>0</v>
      </c>
      <c r="D8" s="21"/>
      <c r="E8" s="38"/>
      <c r="F8" s="22"/>
      <c r="G8" s="22"/>
      <c r="H8" s="38"/>
      <c r="I8" s="22"/>
      <c r="J8" s="22"/>
      <c r="K8" s="22"/>
      <c r="L8" s="23"/>
    </row>
    <row r="9" spans="1:12" ht="15.75" thickBot="1" x14ac:dyDescent="0.3">
      <c r="A9" s="29" t="s">
        <v>43</v>
      </c>
      <c r="B9" s="29" t="b">
        <v>0</v>
      </c>
    </row>
    <row r="10" spans="1:12" s="1" customFormat="1" ht="18.75" x14ac:dyDescent="0.3">
      <c r="A10" s="30"/>
      <c r="B10" s="30"/>
      <c r="D10" s="56" t="s">
        <v>34</v>
      </c>
      <c r="E10" s="57"/>
      <c r="F10" s="57"/>
      <c r="G10" s="57"/>
      <c r="H10" s="57"/>
      <c r="I10" s="57"/>
      <c r="J10" s="57"/>
      <c r="K10" s="57"/>
      <c r="L10" s="58"/>
    </row>
    <row r="11" spans="1:12" s="1" customFormat="1" x14ac:dyDescent="0.25">
      <c r="A11" s="30" t="s">
        <v>100</v>
      </c>
      <c r="B11" s="30" t="s">
        <v>93</v>
      </c>
      <c r="D11" s="59" t="s">
        <v>88</v>
      </c>
      <c r="E11" s="60" t="s">
        <v>32</v>
      </c>
      <c r="F11" s="60" t="s">
        <v>85</v>
      </c>
      <c r="G11" s="60" t="s">
        <v>87</v>
      </c>
      <c r="H11" s="60" t="str">
        <f>"Du "&amp;D6</f>
        <v>Du Magasin</v>
      </c>
      <c r="I11" s="60" t="str">
        <f>"Au "&amp;G6</f>
        <v>Au Client</v>
      </c>
      <c r="J11" s="61" t="s">
        <v>30</v>
      </c>
      <c r="K11" s="62"/>
      <c r="L11" s="63"/>
    </row>
    <row r="12" spans="1:12" x14ac:dyDescent="0.25">
      <c r="A12" s="29"/>
      <c r="B12" s="29"/>
      <c r="D12" s="40"/>
      <c r="E12" s="41"/>
      <c r="F12" s="41"/>
      <c r="G12" s="41"/>
      <c r="H12" s="8"/>
      <c r="I12" s="9"/>
      <c r="J12" s="9"/>
      <c r="K12" s="9"/>
      <c r="L12" s="42"/>
    </row>
    <row r="13" spans="1:12" x14ac:dyDescent="0.25">
      <c r="A13" s="29"/>
      <c r="B13" s="29"/>
      <c r="D13" s="40"/>
      <c r="E13" s="41"/>
      <c r="F13" s="41"/>
      <c r="G13" s="41"/>
      <c r="H13" s="8"/>
      <c r="I13" s="9"/>
      <c r="J13" s="9"/>
      <c r="K13" s="9"/>
      <c r="L13" s="42"/>
    </row>
    <row r="14" spans="1:12" x14ac:dyDescent="0.25">
      <c r="A14" s="29"/>
      <c r="B14" s="29"/>
      <c r="D14" s="40"/>
      <c r="E14" s="41"/>
      <c r="F14" s="41"/>
      <c r="G14" s="41"/>
      <c r="H14" s="8"/>
      <c r="I14" s="9"/>
      <c r="J14" s="9"/>
      <c r="K14" s="9"/>
      <c r="L14" s="42"/>
    </row>
    <row r="15" spans="1:12" x14ac:dyDescent="0.25">
      <c r="A15" s="29"/>
      <c r="B15" s="29"/>
      <c r="D15" s="40"/>
      <c r="E15" s="41"/>
      <c r="F15" s="41"/>
      <c r="G15" s="41"/>
      <c r="H15" s="8"/>
      <c r="I15" s="9"/>
      <c r="J15" s="9"/>
      <c r="K15" s="9"/>
      <c r="L15" s="42"/>
    </row>
    <row r="16" spans="1:12" x14ac:dyDescent="0.25">
      <c r="A16" s="29"/>
      <c r="B16" s="29"/>
      <c r="D16" s="40"/>
      <c r="E16" s="41"/>
      <c r="F16" s="41"/>
      <c r="G16" s="41"/>
      <c r="H16" s="8"/>
      <c r="I16" s="9"/>
      <c r="J16" s="9"/>
      <c r="K16" s="9"/>
      <c r="L16" s="42"/>
    </row>
    <row r="17" spans="1:12" x14ac:dyDescent="0.25">
      <c r="A17" s="29"/>
      <c r="B17" s="29"/>
      <c r="D17" s="40"/>
      <c r="E17" s="41"/>
      <c r="F17" s="41"/>
      <c r="G17" s="41"/>
      <c r="H17" s="8"/>
      <c r="I17" s="9"/>
      <c r="J17" s="9"/>
      <c r="K17" s="9"/>
      <c r="L17" s="42"/>
    </row>
    <row r="18" spans="1:12" x14ac:dyDescent="0.25">
      <c r="A18" s="29"/>
      <c r="B18" s="29"/>
      <c r="D18" s="40"/>
      <c r="E18" s="41"/>
      <c r="F18" s="41"/>
      <c r="G18" s="41"/>
      <c r="H18" s="8"/>
      <c r="I18" s="9"/>
      <c r="J18" s="9"/>
      <c r="K18" s="9"/>
      <c r="L18" s="42"/>
    </row>
    <row r="19" spans="1:12" x14ac:dyDescent="0.25">
      <c r="A19" s="29"/>
      <c r="B19" s="29"/>
      <c r="D19" s="40"/>
      <c r="E19" s="41"/>
      <c r="F19" s="41"/>
      <c r="G19" s="41"/>
      <c r="H19" s="9"/>
      <c r="I19" s="9"/>
      <c r="J19" s="9"/>
      <c r="K19" s="9"/>
      <c r="L19" s="42"/>
    </row>
    <row r="20" spans="1:12" x14ac:dyDescent="0.25">
      <c r="A20" s="29"/>
      <c r="B20" s="29"/>
      <c r="D20" s="40"/>
      <c r="E20" s="41"/>
      <c r="F20" s="41"/>
      <c r="G20" s="41"/>
      <c r="H20" s="9"/>
      <c r="I20" s="9"/>
      <c r="J20" s="9"/>
      <c r="K20" s="9"/>
      <c r="L20" s="42"/>
    </row>
    <row r="21" spans="1:12" x14ac:dyDescent="0.25">
      <c r="A21" s="29"/>
      <c r="B21" s="29"/>
      <c r="D21" s="40"/>
      <c r="E21" s="41"/>
      <c r="F21" s="41"/>
      <c r="G21" s="41"/>
      <c r="H21" s="9"/>
      <c r="I21" s="9"/>
      <c r="J21" s="9"/>
      <c r="K21" s="9"/>
      <c r="L21" s="42"/>
    </row>
    <row r="22" spans="1:12" x14ac:dyDescent="0.25">
      <c r="A22" s="29"/>
      <c r="B22" s="29"/>
      <c r="D22" s="43"/>
      <c r="E22" s="41"/>
      <c r="F22" s="41"/>
      <c r="G22" s="41"/>
      <c r="H22" s="9"/>
      <c r="I22" s="9"/>
      <c r="J22" s="9"/>
      <c r="K22" s="9"/>
      <c r="L22" s="42"/>
    </row>
    <row r="23" spans="1:12" x14ac:dyDescent="0.25">
      <c r="A23" s="29"/>
      <c r="B23" s="29"/>
      <c r="D23" s="43"/>
      <c r="E23" s="41"/>
      <c r="F23" s="41"/>
      <c r="G23" s="41"/>
      <c r="H23" s="9"/>
      <c r="I23" s="9"/>
      <c r="J23" s="9"/>
      <c r="K23" s="9"/>
      <c r="L23" s="42"/>
    </row>
    <row r="24" spans="1:12" x14ac:dyDescent="0.25">
      <c r="A24" s="29"/>
      <c r="B24" s="29"/>
      <c r="D24" s="43"/>
      <c r="E24" s="41"/>
      <c r="F24" s="41"/>
      <c r="G24" s="41"/>
      <c r="H24" s="9"/>
      <c r="I24" s="9"/>
      <c r="J24" s="9"/>
      <c r="K24" s="9"/>
      <c r="L24" s="42"/>
    </row>
    <row r="25" spans="1:12" x14ac:dyDescent="0.25">
      <c r="A25" s="29"/>
      <c r="B25" s="29"/>
      <c r="D25" s="43"/>
      <c r="E25" s="41"/>
      <c r="F25" s="41"/>
      <c r="G25" s="41"/>
      <c r="H25" s="9"/>
      <c r="I25" s="9"/>
      <c r="J25" s="9"/>
      <c r="K25" s="9"/>
      <c r="L25" s="42"/>
    </row>
    <row r="26" spans="1:12" x14ac:dyDescent="0.25">
      <c r="A26" s="29"/>
      <c r="B26" s="29"/>
      <c r="D26" s="43"/>
      <c r="E26" s="41"/>
      <c r="F26" s="41"/>
      <c r="G26" s="41"/>
      <c r="H26" s="9"/>
      <c r="I26" s="9"/>
      <c r="J26" s="9"/>
      <c r="K26" s="9"/>
      <c r="L26" s="42"/>
    </row>
    <row r="27" spans="1:12" x14ac:dyDescent="0.25">
      <c r="A27" s="29"/>
      <c r="B27" s="29"/>
      <c r="D27" s="43"/>
      <c r="E27" s="41"/>
      <c r="F27" s="41"/>
      <c r="G27" s="41"/>
      <c r="H27" s="9"/>
      <c r="I27" s="9"/>
      <c r="J27" s="9"/>
      <c r="K27" s="9"/>
      <c r="L27" s="42"/>
    </row>
    <row r="28" spans="1:12" x14ac:dyDescent="0.25">
      <c r="A28" s="29"/>
      <c r="B28" s="29"/>
      <c r="D28" s="43"/>
      <c r="E28" s="41"/>
      <c r="F28" s="41"/>
      <c r="G28" s="41"/>
      <c r="H28" s="9"/>
      <c r="I28" s="9"/>
      <c r="J28" s="9"/>
      <c r="K28" s="9"/>
      <c r="L28" s="42"/>
    </row>
    <row r="29" spans="1:12" x14ac:dyDescent="0.25">
      <c r="A29" s="29"/>
      <c r="B29" s="29"/>
      <c r="D29" s="43"/>
      <c r="E29" s="41"/>
      <c r="F29" s="41"/>
      <c r="G29" s="41"/>
      <c r="H29" s="9"/>
      <c r="I29" s="9"/>
      <c r="J29" s="9"/>
      <c r="K29" s="9"/>
      <c r="L29" s="42"/>
    </row>
    <row r="30" spans="1:12" x14ac:dyDescent="0.25">
      <c r="A30" s="29"/>
      <c r="B30" s="29"/>
      <c r="D30" s="43"/>
      <c r="E30" s="41"/>
      <c r="F30" s="41"/>
      <c r="G30" s="41"/>
      <c r="H30" s="9"/>
      <c r="I30" s="9"/>
      <c r="J30" s="9"/>
      <c r="K30" s="9"/>
      <c r="L30" s="42"/>
    </row>
    <row r="31" spans="1:12" x14ac:dyDescent="0.25">
      <c r="A31" s="29"/>
      <c r="B31" s="29"/>
      <c r="D31" s="43"/>
      <c r="E31" s="41"/>
      <c r="F31" s="41"/>
      <c r="G31" s="41"/>
      <c r="H31" s="9"/>
      <c r="I31" s="9"/>
      <c r="J31" s="9"/>
      <c r="K31" s="9"/>
      <c r="L31" s="42"/>
    </row>
    <row r="32" spans="1:12" x14ac:dyDescent="0.25">
      <c r="A32" s="29"/>
      <c r="B32" s="29"/>
      <c r="D32" s="43"/>
      <c r="E32" s="41"/>
      <c r="F32" s="41"/>
      <c r="G32" s="41"/>
      <c r="H32" s="9"/>
      <c r="I32" s="9"/>
      <c r="J32" s="9"/>
      <c r="K32" s="9"/>
      <c r="L32" s="42"/>
    </row>
    <row r="33" spans="1:12" x14ac:dyDescent="0.25">
      <c r="A33" s="29"/>
      <c r="B33" s="29"/>
      <c r="D33" s="43"/>
      <c r="E33" s="41"/>
      <c r="F33" s="41"/>
      <c r="G33" s="41"/>
      <c r="H33" s="9"/>
      <c r="I33" s="9"/>
      <c r="J33" s="9"/>
      <c r="K33" s="9"/>
      <c r="L33" s="42"/>
    </row>
    <row r="34" spans="1:12" x14ac:dyDescent="0.25">
      <c r="A34" s="29"/>
      <c r="B34" s="29"/>
      <c r="D34" s="43"/>
      <c r="E34" s="41"/>
      <c r="F34" s="41"/>
      <c r="G34" s="41"/>
      <c r="H34" s="9"/>
      <c r="I34" s="9"/>
      <c r="J34" s="9"/>
      <c r="K34" s="9"/>
      <c r="L34" s="42"/>
    </row>
    <row r="35" spans="1:12" x14ac:dyDescent="0.25">
      <c r="A35" s="29"/>
      <c r="B35" s="29"/>
      <c r="D35" s="43"/>
      <c r="E35" s="41"/>
      <c r="F35" s="41"/>
      <c r="G35" s="41"/>
      <c r="H35" s="9"/>
      <c r="I35" s="9"/>
      <c r="J35" s="9"/>
      <c r="K35" s="9"/>
      <c r="L35" s="42"/>
    </row>
    <row r="36" spans="1:12" x14ac:dyDescent="0.25">
      <c r="A36" s="29"/>
      <c r="B36" s="29"/>
      <c r="D36" s="43"/>
      <c r="E36" s="41"/>
      <c r="F36" s="41"/>
      <c r="G36" s="41"/>
      <c r="H36" s="9"/>
      <c r="I36" s="9"/>
      <c r="J36" s="9"/>
      <c r="K36" s="9"/>
      <c r="L36" s="42"/>
    </row>
    <row r="37" spans="1:12" x14ac:dyDescent="0.25">
      <c r="A37" s="29"/>
      <c r="B37" s="29"/>
      <c r="D37" s="43"/>
      <c r="E37" s="41"/>
      <c r="F37" s="41"/>
      <c r="G37" s="41"/>
      <c r="H37" s="9"/>
      <c r="I37" s="9"/>
      <c r="J37" s="9"/>
      <c r="K37" s="9"/>
      <c r="L37" s="42"/>
    </row>
    <row r="38" spans="1:12" x14ac:dyDescent="0.25">
      <c r="A38" s="29"/>
      <c r="B38" s="29"/>
      <c r="D38" s="43"/>
      <c r="E38" s="41"/>
      <c r="F38" s="41"/>
      <c r="G38" s="41"/>
      <c r="H38" s="9"/>
      <c r="I38" s="9"/>
      <c r="J38" s="9"/>
      <c r="K38" s="9"/>
      <c r="L38" s="42"/>
    </row>
    <row r="39" spans="1:12" x14ac:dyDescent="0.25">
      <c r="A39" s="29"/>
      <c r="B39" s="29"/>
      <c r="D39" s="43"/>
      <c r="E39" s="41"/>
      <c r="F39" s="41"/>
      <c r="G39" s="41"/>
      <c r="H39" s="9"/>
      <c r="I39" s="9"/>
      <c r="J39" s="9"/>
      <c r="K39" s="9"/>
      <c r="L39" s="42"/>
    </row>
    <row r="40" spans="1:12" x14ac:dyDescent="0.25">
      <c r="A40" s="29"/>
      <c r="B40" s="29"/>
      <c r="D40" s="43"/>
      <c r="E40" s="41"/>
      <c r="F40" s="41"/>
      <c r="G40" s="41"/>
      <c r="H40" s="9"/>
      <c r="I40" s="9"/>
      <c r="J40" s="9"/>
      <c r="K40" s="9"/>
      <c r="L40" s="42"/>
    </row>
    <row r="41" spans="1:12" x14ac:dyDescent="0.25">
      <c r="A41" s="29"/>
      <c r="B41" s="29"/>
      <c r="D41" s="43"/>
      <c r="E41" s="41"/>
      <c r="F41" s="41"/>
      <c r="G41" s="41"/>
      <c r="H41" s="9"/>
      <c r="I41" s="9"/>
      <c r="J41" s="9"/>
      <c r="K41" s="9"/>
      <c r="L41" s="42"/>
    </row>
    <row r="42" spans="1:12" x14ac:dyDescent="0.25">
      <c r="A42" s="29"/>
      <c r="B42" s="29"/>
      <c r="D42" s="43"/>
      <c r="E42" s="41"/>
      <c r="F42" s="41"/>
      <c r="G42" s="41"/>
      <c r="H42" s="9"/>
      <c r="I42" s="9"/>
      <c r="J42" s="9"/>
      <c r="K42" s="9"/>
      <c r="L42" s="42"/>
    </row>
    <row r="43" spans="1:12" x14ac:dyDescent="0.25">
      <c r="A43" s="29"/>
      <c r="B43" s="29"/>
      <c r="D43" s="43"/>
      <c r="E43" s="41"/>
      <c r="F43" s="41"/>
      <c r="G43" s="41"/>
      <c r="H43" s="9"/>
      <c r="I43" s="9"/>
      <c r="J43" s="9"/>
      <c r="K43" s="9"/>
      <c r="L43" s="42"/>
    </row>
    <row r="44" spans="1:12" x14ac:dyDescent="0.25">
      <c r="A44" s="29"/>
      <c r="B44" s="29"/>
      <c r="D44" s="43"/>
      <c r="E44" s="41"/>
      <c r="F44" s="41"/>
      <c r="G44" s="41"/>
      <c r="H44" s="9"/>
      <c r="I44" s="9"/>
      <c r="J44" s="9"/>
      <c r="K44" s="9"/>
      <c r="L44" s="42"/>
    </row>
    <row r="45" spans="1:12" x14ac:dyDescent="0.25">
      <c r="A45" s="29"/>
      <c r="B45" s="29"/>
      <c r="D45" s="43"/>
      <c r="E45" s="41"/>
      <c r="F45" s="41"/>
      <c r="G45" s="41"/>
      <c r="H45" s="9"/>
      <c r="I45" s="9"/>
      <c r="J45" s="9"/>
      <c r="K45" s="9"/>
      <c r="L45" s="42"/>
    </row>
    <row r="46" spans="1:12" x14ac:dyDescent="0.25">
      <c r="A46" s="29"/>
      <c r="B46" s="29"/>
      <c r="D46" s="43"/>
      <c r="E46" s="41"/>
      <c r="F46" s="41"/>
      <c r="G46" s="41"/>
      <c r="H46" s="9"/>
      <c r="I46" s="9"/>
      <c r="J46" s="9"/>
      <c r="K46" s="9"/>
      <c r="L46" s="42"/>
    </row>
    <row r="47" spans="1:12" x14ac:dyDescent="0.25">
      <c r="A47" s="29"/>
      <c r="B47" s="29"/>
      <c r="D47" s="43"/>
      <c r="E47" s="41"/>
      <c r="F47" s="41"/>
      <c r="G47" s="41"/>
      <c r="H47" s="9"/>
      <c r="I47" s="9"/>
      <c r="J47" s="9"/>
      <c r="K47" s="9"/>
      <c r="L47" s="42"/>
    </row>
    <row r="48" spans="1:12" x14ac:dyDescent="0.25">
      <c r="A48" s="29"/>
      <c r="B48" s="29"/>
      <c r="D48" s="43"/>
      <c r="E48" s="41"/>
      <c r="F48" s="41"/>
      <c r="G48" s="41"/>
      <c r="H48" s="9"/>
      <c r="I48" s="9"/>
      <c r="J48" s="9"/>
      <c r="K48" s="9"/>
      <c r="L48" s="42"/>
    </row>
    <row r="49" spans="1:12" x14ac:dyDescent="0.25">
      <c r="A49" s="29"/>
      <c r="B49" s="29"/>
      <c r="D49" s="43"/>
      <c r="E49" s="41"/>
      <c r="F49" s="41"/>
      <c r="G49" s="41"/>
      <c r="H49" s="9"/>
      <c r="I49" s="9"/>
      <c r="J49" s="9"/>
      <c r="K49" s="9"/>
      <c r="L49" s="42"/>
    </row>
    <row r="50" spans="1:12" x14ac:dyDescent="0.25">
      <c r="A50" s="29"/>
      <c r="B50" s="29"/>
      <c r="D50" s="43"/>
      <c r="E50" s="41"/>
      <c r="F50" s="41"/>
      <c r="G50" s="41"/>
      <c r="H50" s="9"/>
      <c r="I50" s="9"/>
      <c r="J50" s="9"/>
      <c r="K50" s="9"/>
      <c r="L50" s="42"/>
    </row>
    <row r="51" spans="1:12" x14ac:dyDescent="0.25">
      <c r="A51" s="29"/>
      <c r="B51" s="29"/>
      <c r="D51" s="43"/>
      <c r="E51" s="41"/>
      <c r="F51" s="41"/>
      <c r="G51" s="41"/>
      <c r="H51" s="9"/>
      <c r="I51" s="9"/>
      <c r="J51" s="9"/>
      <c r="K51" s="9"/>
      <c r="L51" s="42"/>
    </row>
    <row r="52" spans="1:12" x14ac:dyDescent="0.25">
      <c r="A52" s="29"/>
      <c r="B52" s="29"/>
      <c r="D52" s="43"/>
      <c r="E52" s="41"/>
      <c r="F52" s="41"/>
      <c r="G52" s="41"/>
      <c r="H52" s="9"/>
      <c r="I52" s="9"/>
      <c r="J52" s="9"/>
      <c r="K52" s="9"/>
      <c r="L52" s="42"/>
    </row>
    <row r="53" spans="1:12" x14ac:dyDescent="0.25">
      <c r="A53" s="29"/>
      <c r="B53" s="29"/>
      <c r="D53" s="43"/>
      <c r="E53" s="41"/>
      <c r="F53" s="41"/>
      <c r="G53" s="41"/>
      <c r="H53" s="9"/>
      <c r="I53" s="9"/>
      <c r="J53" s="9"/>
      <c r="K53" s="9"/>
      <c r="L53" s="42"/>
    </row>
    <row r="54" spans="1:12" x14ac:dyDescent="0.25">
      <c r="A54" s="29"/>
      <c r="B54" s="29"/>
      <c r="D54" s="43"/>
      <c r="E54" s="41"/>
      <c r="F54" s="41"/>
      <c r="G54" s="41"/>
      <c r="H54" s="9"/>
      <c r="I54" s="9"/>
      <c r="J54" s="9"/>
      <c r="K54" s="9"/>
      <c r="L54" s="42"/>
    </row>
    <row r="55" spans="1:12" x14ac:dyDescent="0.25">
      <c r="A55" s="29"/>
      <c r="B55" s="29"/>
      <c r="D55" s="43"/>
      <c r="E55" s="41"/>
      <c r="F55" s="41"/>
      <c r="G55" s="41"/>
      <c r="H55" s="9"/>
      <c r="I55" s="9"/>
      <c r="J55" s="9"/>
      <c r="K55" s="9"/>
      <c r="L55" s="42"/>
    </row>
    <row r="56" spans="1:12" x14ac:dyDescent="0.25">
      <c r="A56" s="29"/>
      <c r="B56" s="29"/>
      <c r="D56" s="43"/>
      <c r="E56" s="41"/>
      <c r="F56" s="41"/>
      <c r="G56" s="41"/>
      <c r="H56" s="9"/>
      <c r="I56" s="9"/>
      <c r="J56" s="9"/>
      <c r="K56" s="9"/>
      <c r="L56" s="42"/>
    </row>
    <row r="57" spans="1:12" x14ac:dyDescent="0.25">
      <c r="A57" s="29"/>
      <c r="B57" s="29"/>
      <c r="D57" s="43"/>
      <c r="E57" s="41"/>
      <c r="F57" s="41"/>
      <c r="G57" s="41"/>
      <c r="H57" s="9"/>
      <c r="I57" s="9"/>
      <c r="J57" s="9"/>
      <c r="K57" s="9"/>
      <c r="L57" s="42"/>
    </row>
    <row r="58" spans="1:12" x14ac:dyDescent="0.25">
      <c r="A58" s="29"/>
      <c r="B58" s="29"/>
      <c r="D58" s="43"/>
      <c r="E58" s="41"/>
      <c r="F58" s="41"/>
      <c r="G58" s="41"/>
      <c r="H58" s="9"/>
      <c r="I58" s="9"/>
      <c r="J58" s="9"/>
      <c r="K58" s="9"/>
      <c r="L58" s="42"/>
    </row>
    <row r="59" spans="1:12" x14ac:dyDescent="0.25">
      <c r="A59" s="29"/>
      <c r="B59" s="29"/>
      <c r="D59" s="43"/>
      <c r="E59" s="41"/>
      <c r="F59" s="41"/>
      <c r="G59" s="41"/>
      <c r="H59" s="9"/>
      <c r="I59" s="9"/>
      <c r="J59" s="9"/>
      <c r="K59" s="9"/>
      <c r="L59" s="42"/>
    </row>
    <row r="60" spans="1:12" x14ac:dyDescent="0.25">
      <c r="A60" s="29"/>
      <c r="B60" s="29"/>
      <c r="D60" s="43"/>
      <c r="E60" s="41"/>
      <c r="F60" s="41"/>
      <c r="G60" s="41"/>
      <c r="H60" s="9"/>
      <c r="I60" s="9"/>
      <c r="J60" s="9"/>
      <c r="K60" s="9"/>
      <c r="L60" s="42"/>
    </row>
    <row r="61" spans="1:12" x14ac:dyDescent="0.25">
      <c r="A61" s="29"/>
      <c r="B61" s="29"/>
      <c r="D61" s="43"/>
      <c r="E61" s="41"/>
      <c r="F61" s="41"/>
      <c r="G61" s="41"/>
      <c r="H61" s="9"/>
      <c r="I61" s="9"/>
      <c r="J61" s="9"/>
      <c r="K61" s="9"/>
      <c r="L61" s="42"/>
    </row>
    <row r="62" spans="1:12" x14ac:dyDescent="0.25">
      <c r="A62" s="29"/>
      <c r="B62" s="29"/>
      <c r="D62" s="43"/>
      <c r="E62" s="41"/>
      <c r="F62" s="41"/>
      <c r="G62" s="41"/>
      <c r="H62" s="9"/>
      <c r="I62" s="9"/>
      <c r="J62" s="9"/>
      <c r="K62" s="9"/>
      <c r="L62" s="42"/>
    </row>
    <row r="63" spans="1:12" x14ac:dyDescent="0.25">
      <c r="A63" s="29"/>
      <c r="B63" s="29"/>
      <c r="D63" s="43"/>
      <c r="E63" s="41"/>
      <c r="F63" s="41"/>
      <c r="G63" s="41"/>
      <c r="H63" s="9"/>
      <c r="I63" s="9"/>
      <c r="J63" s="9"/>
      <c r="K63" s="9"/>
      <c r="L63" s="42"/>
    </row>
    <row r="64" spans="1:12" x14ac:dyDescent="0.25">
      <c r="A64" s="29"/>
      <c r="B64" s="29"/>
      <c r="D64" s="43"/>
      <c r="E64" s="41"/>
      <c r="F64" s="41"/>
      <c r="G64" s="41"/>
      <c r="H64" s="9"/>
      <c r="I64" s="9"/>
      <c r="J64" s="9"/>
      <c r="K64" s="9"/>
      <c r="L64" s="42"/>
    </row>
    <row r="65" spans="1:12" x14ac:dyDescent="0.25">
      <c r="A65" s="29"/>
      <c r="B65" s="29"/>
      <c r="D65" s="43"/>
      <c r="E65" s="41"/>
      <c r="F65" s="41"/>
      <c r="G65" s="41"/>
      <c r="H65" s="9"/>
      <c r="I65" s="9"/>
      <c r="J65" s="9"/>
      <c r="K65" s="9"/>
      <c r="L65" s="42"/>
    </row>
    <row r="66" spans="1:12" x14ac:dyDescent="0.25">
      <c r="A66" s="29"/>
      <c r="B66" s="29"/>
      <c r="D66" s="43"/>
      <c r="E66" s="41"/>
      <c r="F66" s="41"/>
      <c r="G66" s="41"/>
      <c r="H66" s="9"/>
      <c r="I66" s="9"/>
      <c r="J66" s="9"/>
      <c r="K66" s="9"/>
      <c r="L66" s="42"/>
    </row>
    <row r="67" spans="1:12" ht="15.75" thickBot="1" x14ac:dyDescent="0.3">
      <c r="A67" s="29"/>
      <c r="B67" s="29"/>
      <c r="D67" s="44"/>
      <c r="E67" s="54"/>
      <c r="F67" s="54"/>
      <c r="G67" s="54"/>
      <c r="H67" s="45"/>
      <c r="I67" s="45"/>
      <c r="J67" s="45"/>
      <c r="K67" s="45"/>
      <c r="L67" s="46"/>
    </row>
    <row r="68" spans="1:12" x14ac:dyDescent="0.25">
      <c r="E68" s="55"/>
      <c r="F68" s="55"/>
      <c r="G68" s="55"/>
    </row>
    <row r="69" spans="1:12" x14ac:dyDescent="0.25">
      <c r="E69" s="55"/>
      <c r="F69" s="55"/>
      <c r="G69" s="55"/>
    </row>
    <row r="70" spans="1:12" x14ac:dyDescent="0.25">
      <c r="E70" s="55"/>
      <c r="F70" s="55"/>
      <c r="G70" s="55"/>
    </row>
    <row r="71" spans="1:12" x14ac:dyDescent="0.25">
      <c r="E71" s="55"/>
      <c r="F71" s="55"/>
      <c r="G71" s="55"/>
    </row>
    <row r="72" spans="1:12" x14ac:dyDescent="0.25">
      <c r="E72" s="55"/>
      <c r="F72" s="55"/>
      <c r="G72" s="55"/>
    </row>
    <row r="73" spans="1:12" x14ac:dyDescent="0.25">
      <c r="E73" s="55"/>
      <c r="F73" s="55"/>
      <c r="G73" s="55"/>
    </row>
    <row r="74" spans="1:12" x14ac:dyDescent="0.25">
      <c r="E74" s="55"/>
      <c r="F74" s="55"/>
      <c r="G74" s="55"/>
    </row>
    <row r="75" spans="1:12" x14ac:dyDescent="0.25">
      <c r="E75" s="55"/>
      <c r="F75" s="55"/>
      <c r="G75" s="55"/>
    </row>
    <row r="76" spans="1:12" x14ac:dyDescent="0.25">
      <c r="E76" s="55"/>
      <c r="F76" s="55"/>
      <c r="G76" s="55"/>
    </row>
    <row r="77" spans="1:12" x14ac:dyDescent="0.25">
      <c r="E77" s="55"/>
      <c r="F77" s="55"/>
      <c r="G77" s="55"/>
    </row>
    <row r="78" spans="1:12" x14ac:dyDescent="0.25">
      <c r="E78" s="55"/>
      <c r="F78" s="55"/>
      <c r="G78" s="55"/>
    </row>
    <row r="79" spans="1:12" x14ac:dyDescent="0.25">
      <c r="E79" s="55"/>
      <c r="F79" s="55"/>
      <c r="G79" s="55"/>
    </row>
    <row r="80" spans="1:12" x14ac:dyDescent="0.25">
      <c r="E80" s="55"/>
      <c r="F80" s="55"/>
      <c r="G80" s="55"/>
    </row>
    <row r="81" spans="5:7" x14ac:dyDescent="0.25">
      <c r="E81" s="55"/>
      <c r="F81" s="55"/>
      <c r="G81" s="55"/>
    </row>
    <row r="82" spans="5:7" x14ac:dyDescent="0.25">
      <c r="E82" s="55"/>
      <c r="F82" s="55"/>
      <c r="G82" s="55"/>
    </row>
    <row r="83" spans="5:7" x14ac:dyDescent="0.25">
      <c r="E83" s="55"/>
      <c r="F83" s="55"/>
      <c r="G83" s="55"/>
    </row>
    <row r="84" spans="5:7" x14ac:dyDescent="0.25">
      <c r="E84" s="55"/>
      <c r="F84" s="55"/>
      <c r="G84" s="55"/>
    </row>
    <row r="85" spans="5:7" x14ac:dyDescent="0.25">
      <c r="E85" s="55"/>
      <c r="F85" s="55"/>
      <c r="G85" s="55"/>
    </row>
    <row r="86" spans="5:7" x14ac:dyDescent="0.25">
      <c r="E86" s="55"/>
      <c r="F86" s="55"/>
      <c r="G86" s="55"/>
    </row>
    <row r="87" spans="5:7" x14ac:dyDescent="0.25">
      <c r="E87" s="55"/>
      <c r="F87" s="55"/>
      <c r="G87" s="55"/>
    </row>
    <row r="88" spans="5:7" x14ac:dyDescent="0.25">
      <c r="E88" s="55"/>
      <c r="F88" s="55"/>
      <c r="G88" s="55"/>
    </row>
    <row r="89" spans="5:7" x14ac:dyDescent="0.25">
      <c r="E89" s="55"/>
      <c r="F89" s="55"/>
      <c r="G89" s="55"/>
    </row>
    <row r="90" spans="5:7" x14ac:dyDescent="0.25">
      <c r="E90" s="55"/>
      <c r="F90" s="55"/>
      <c r="G90" s="55"/>
    </row>
    <row r="91" spans="5:7" x14ac:dyDescent="0.25">
      <c r="E91" s="55"/>
      <c r="F91" s="55"/>
      <c r="G91" s="55"/>
    </row>
    <row r="92" spans="5:7" x14ac:dyDescent="0.25">
      <c r="E92" s="55"/>
      <c r="F92" s="55"/>
      <c r="G92" s="55"/>
    </row>
    <row r="93" spans="5:7" x14ac:dyDescent="0.25">
      <c r="E93" s="55"/>
      <c r="F93" s="55"/>
      <c r="G93" s="55"/>
    </row>
    <row r="94" spans="5:7" x14ac:dyDescent="0.25">
      <c r="E94" s="55"/>
      <c r="F94" s="55"/>
      <c r="G94" s="55"/>
    </row>
    <row r="95" spans="5:7" x14ac:dyDescent="0.25">
      <c r="E95" s="55"/>
      <c r="F95" s="55"/>
      <c r="G95" s="55"/>
    </row>
  </sheetData>
  <conditionalFormatting sqref="D12:L67">
    <cfRule type="expression" dxfId="17" priority="1">
      <formula>AND($D12&lt;&gt;"",MOD(ROW(),2)=0)</formula>
    </cfRule>
  </conditionalFormatting>
  <dataValidations count="7">
    <dataValidation type="list" allowBlank="1" showInputMessage="1" showErrorMessage="1" sqref="H12:H100 E7:E8">
      <formula1>Nom_Fournisseurs</formula1>
    </dataValidation>
    <dataValidation type="list" allowBlank="1" showInputMessage="1" showErrorMessage="1" sqref="D12:D21">
      <formula1>Nom_Articles</formula1>
    </dataValidation>
    <dataValidation type="list" allowBlank="1" showInputMessage="1" showErrorMessage="1" prompt="Sélectionner le nom du Camion" sqref="L4">
      <formula1>Nom_Camions</formula1>
    </dataValidation>
    <dataValidation type="list" allowBlank="1" showInputMessage="1" showErrorMessage="1" prompt="Sélectionner le nom du chauffeur" sqref="J4">
      <formula1>Nom_Chauffeurs</formula1>
    </dataValidation>
    <dataValidation type="list" allowBlank="1" showInputMessage="1" showErrorMessage="1" prompt="Magasin ou fournisseur d'envoi des colis" sqref="E6">
      <formula1>Nom_Magasins</formula1>
    </dataValidation>
    <dataValidation type="list" allowBlank="1" showInputMessage="1" showErrorMessage="1" sqref="G6">
      <formula1>"Client,Magasin"</formula1>
    </dataValidation>
    <dataValidation type="list" allowBlank="1" showInputMessage="1" showErrorMessage="1" sqref="H6">
      <formula1>Nom_Clients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ventaire">
    <tabColor theme="1"/>
  </sheetPr>
  <dimension ref="A1:M70"/>
  <sheetViews>
    <sheetView showGridLines="0" workbookViewId="0"/>
  </sheetViews>
  <sheetFormatPr baseColWidth="10" defaultRowHeight="15" x14ac:dyDescent="0.25"/>
  <cols>
    <col min="1" max="1" width="18" customWidth="1"/>
    <col min="2" max="2" width="12.7109375" customWidth="1"/>
    <col min="3" max="3" width="2.7109375" style="70" customWidth="1"/>
    <col min="4" max="4" width="16.7109375" bestFit="1" customWidth="1"/>
    <col min="5" max="5" width="7.7109375" bestFit="1" customWidth="1"/>
    <col min="6" max="6" width="17.5703125" customWidth="1"/>
    <col min="7" max="7" width="30.140625" bestFit="1" customWidth="1"/>
    <col min="8" max="8" width="8.85546875" bestFit="1" customWidth="1"/>
    <col min="9" max="9" width="10.7109375" bestFit="1" customWidth="1"/>
    <col min="10" max="10" width="15.28515625" customWidth="1"/>
    <col min="11" max="11" width="15.7109375" bestFit="1" customWidth="1"/>
    <col min="12" max="12" width="17.7109375" bestFit="1" customWidth="1"/>
    <col min="13" max="13" width="9.140625" bestFit="1" customWidth="1"/>
  </cols>
  <sheetData>
    <row r="1" spans="1:13" ht="24.75" x14ac:dyDescent="0.3">
      <c r="A1" s="68" t="s">
        <v>112</v>
      </c>
      <c r="B1" s="68">
        <v>8</v>
      </c>
      <c r="D1" s="33"/>
      <c r="E1" s="34"/>
      <c r="F1" s="96" t="s">
        <v>117</v>
      </c>
      <c r="G1" s="96"/>
      <c r="H1" s="97"/>
      <c r="I1" s="34"/>
      <c r="J1" s="34"/>
      <c r="K1" s="35"/>
    </row>
    <row r="2" spans="1:13" x14ac:dyDescent="0.25">
      <c r="A2" s="68" t="s">
        <v>113</v>
      </c>
      <c r="B2" s="68"/>
      <c r="D2" s="20"/>
      <c r="E2" s="5"/>
      <c r="F2" s="5"/>
      <c r="G2" s="5"/>
      <c r="H2" s="5"/>
      <c r="I2" s="5"/>
      <c r="J2" s="5"/>
      <c r="K2" s="19"/>
    </row>
    <row r="3" spans="1:13" x14ac:dyDescent="0.25">
      <c r="A3" s="68" t="s">
        <v>114</v>
      </c>
      <c r="B3" s="68">
        <f ca="1">IFERROR(MAX((ID_Inventaire))+1,1)</f>
        <v>9</v>
      </c>
      <c r="D3" s="20"/>
      <c r="E3" s="5"/>
      <c r="F3" s="5"/>
      <c r="G3" s="5"/>
      <c r="H3" s="5"/>
      <c r="I3" s="5"/>
      <c r="J3" s="5"/>
      <c r="K3" s="19"/>
    </row>
    <row r="4" spans="1:13" ht="15.75" x14ac:dyDescent="0.25">
      <c r="A4" s="68" t="s">
        <v>125</v>
      </c>
      <c r="B4" s="68">
        <f>IFERROR(MATCH(I4,Liste_PourTriInv,0)+34,0)</f>
        <v>35</v>
      </c>
      <c r="D4" s="99" t="s">
        <v>33</v>
      </c>
      <c r="E4" s="5"/>
      <c r="F4" s="100" t="s">
        <v>283</v>
      </c>
      <c r="G4" s="5"/>
      <c r="H4" s="6" t="s">
        <v>84</v>
      </c>
      <c r="I4" s="100" t="s">
        <v>89</v>
      </c>
      <c r="J4" s="6" t="s">
        <v>86</v>
      </c>
      <c r="K4" s="101">
        <f>SUM(K10:K274)</f>
        <v>0</v>
      </c>
    </row>
    <row r="5" spans="1:13" x14ac:dyDescent="0.25">
      <c r="A5" s="69" t="s">
        <v>115</v>
      </c>
      <c r="B5" s="69"/>
      <c r="C5" s="71"/>
      <c r="D5" s="20"/>
      <c r="E5" s="5"/>
      <c r="F5" s="5"/>
      <c r="G5" s="5"/>
      <c r="H5" s="5"/>
      <c r="I5" s="5"/>
      <c r="J5" s="5"/>
      <c r="K5" s="19"/>
      <c r="M5" t="s">
        <v>35</v>
      </c>
    </row>
    <row r="6" spans="1:13" ht="15.75" thickBot="1" x14ac:dyDescent="0.3">
      <c r="A6" s="68" t="s">
        <v>116</v>
      </c>
      <c r="B6" s="68"/>
      <c r="D6" s="21"/>
      <c r="E6" s="22"/>
      <c r="F6" s="22"/>
      <c r="G6" s="22"/>
      <c r="H6" s="22"/>
      <c r="I6" s="22"/>
      <c r="J6" s="22"/>
      <c r="K6" s="23"/>
    </row>
    <row r="7" spans="1:13" ht="15.75" thickBot="1" x14ac:dyDescent="0.3">
      <c r="A7" s="68" t="str">
        <f>Magasin!A4</f>
        <v>Magasin PCS</v>
      </c>
      <c r="B7" s="68"/>
      <c r="K7" s="80" t="str">
        <f>IF(J10="","",H10*J10-H10*I10)</f>
        <v/>
      </c>
      <c r="M7" t="s">
        <v>35</v>
      </c>
    </row>
    <row r="8" spans="1:13" ht="18.75" x14ac:dyDescent="0.3">
      <c r="A8" s="68" t="str">
        <f>Magasin!A5</f>
        <v>Magasin MP Ext</v>
      </c>
      <c r="B8" s="68"/>
      <c r="D8" s="89" t="s">
        <v>119</v>
      </c>
      <c r="E8" s="90"/>
      <c r="F8" s="90"/>
      <c r="G8" s="90"/>
      <c r="H8" s="90"/>
      <c r="I8" s="90"/>
      <c r="J8" s="90"/>
      <c r="K8" s="91"/>
      <c r="M8" t="s">
        <v>35</v>
      </c>
    </row>
    <row r="9" spans="1:13" x14ac:dyDescent="0.25">
      <c r="A9" s="68" t="str">
        <f>Magasin!A6</f>
        <v>Magasin PF</v>
      </c>
      <c r="B9" s="68"/>
      <c r="D9" s="92" t="s">
        <v>89</v>
      </c>
      <c r="E9" s="93"/>
      <c r="F9" s="93"/>
      <c r="G9" s="93"/>
      <c r="H9" s="94"/>
      <c r="I9" s="93">
        <v>0</v>
      </c>
      <c r="J9" s="93" t="s">
        <v>127</v>
      </c>
      <c r="K9" s="95" t="str">
        <f>IF(J10="","",H10*J10-H10*I10)</f>
        <v/>
      </c>
    </row>
    <row r="10" spans="1:13" x14ac:dyDescent="0.25">
      <c r="A10" s="68" t="str">
        <f>Magasin!A7</f>
        <v>Site de production</v>
      </c>
      <c r="B10" s="68"/>
      <c r="D10" s="81" t="s">
        <v>242</v>
      </c>
      <c r="E10" s="82"/>
      <c r="F10" s="82"/>
      <c r="G10" s="82"/>
      <c r="H10" s="83"/>
      <c r="I10" s="82">
        <v>-10</v>
      </c>
      <c r="J10" s="82"/>
      <c r="K10" s="84" t="str">
        <f t="shared" ref="K10:K24" si="0">IF(J10="","",H10*J10-H10*I10)</f>
        <v/>
      </c>
    </row>
    <row r="11" spans="1:13" x14ac:dyDescent="0.25">
      <c r="A11" s="68"/>
      <c r="B11" s="68"/>
      <c r="D11" s="81" t="s">
        <v>217</v>
      </c>
      <c r="E11" s="82" t="s">
        <v>66</v>
      </c>
      <c r="F11" s="82" t="s">
        <v>241</v>
      </c>
      <c r="G11" s="82" t="s">
        <v>253</v>
      </c>
      <c r="H11" s="83">
        <v>0</v>
      </c>
      <c r="I11" s="82">
        <v>-490</v>
      </c>
      <c r="J11" s="82"/>
      <c r="K11" s="84" t="str">
        <f t="shared" si="0"/>
        <v/>
      </c>
    </row>
    <row r="12" spans="1:13" x14ac:dyDescent="0.25">
      <c r="A12" s="68"/>
      <c r="B12" s="68"/>
      <c r="D12" s="81" t="s">
        <v>203</v>
      </c>
      <c r="E12" s="82" t="s">
        <v>51</v>
      </c>
      <c r="F12" s="82" t="s">
        <v>238</v>
      </c>
      <c r="G12" s="82" t="s">
        <v>253</v>
      </c>
      <c r="H12" s="83">
        <v>23.76</v>
      </c>
      <c r="I12" s="82">
        <v>3</v>
      </c>
      <c r="J12" s="82"/>
      <c r="K12" s="84" t="str">
        <f t="shared" si="0"/>
        <v/>
      </c>
    </row>
    <row r="13" spans="1:13" x14ac:dyDescent="0.25">
      <c r="A13" s="68"/>
      <c r="B13" s="68"/>
      <c r="D13" s="81" t="s">
        <v>221</v>
      </c>
      <c r="E13" s="82" t="s">
        <v>233</v>
      </c>
      <c r="F13" s="82" t="s">
        <v>241</v>
      </c>
      <c r="G13" s="82" t="s">
        <v>253</v>
      </c>
      <c r="H13" s="83">
        <v>12</v>
      </c>
      <c r="I13" s="82">
        <v>68</v>
      </c>
      <c r="J13" s="110"/>
      <c r="K13" s="84" t="str">
        <f t="shared" si="0"/>
        <v/>
      </c>
    </row>
    <row r="14" spans="1:13" x14ac:dyDescent="0.25">
      <c r="A14" s="68"/>
      <c r="B14" s="68"/>
      <c r="D14" s="81" t="s">
        <v>205</v>
      </c>
      <c r="E14" s="82" t="s">
        <v>53</v>
      </c>
      <c r="F14" s="82" t="s">
        <v>238</v>
      </c>
      <c r="G14" s="82" t="s">
        <v>253</v>
      </c>
      <c r="H14" s="83">
        <v>21</v>
      </c>
      <c r="I14" s="82">
        <v>-62087</v>
      </c>
      <c r="J14" s="110"/>
      <c r="K14" s="84" t="str">
        <f t="shared" si="0"/>
        <v/>
      </c>
    </row>
    <row r="15" spans="1:13" x14ac:dyDescent="0.25">
      <c r="A15" s="68"/>
      <c r="B15" s="68"/>
      <c r="D15" s="81" t="s">
        <v>246</v>
      </c>
      <c r="E15" s="82" t="s">
        <v>251</v>
      </c>
      <c r="F15" s="82" t="s">
        <v>251</v>
      </c>
      <c r="G15" s="82" t="s">
        <v>254</v>
      </c>
      <c r="H15" s="83">
        <v>168945.6</v>
      </c>
      <c r="I15" s="82">
        <v>2</v>
      </c>
      <c r="J15" s="110"/>
      <c r="K15" s="84" t="str">
        <f t="shared" si="0"/>
        <v/>
      </c>
    </row>
    <row r="16" spans="1:13" x14ac:dyDescent="0.25">
      <c r="A16" s="68"/>
      <c r="B16" s="68"/>
      <c r="D16" s="81" t="s">
        <v>247</v>
      </c>
      <c r="E16" s="82" t="s">
        <v>251</v>
      </c>
      <c r="F16" s="82" t="s">
        <v>251</v>
      </c>
      <c r="G16" s="82" t="s">
        <v>254</v>
      </c>
      <c r="H16" s="82">
        <v>125992.8</v>
      </c>
      <c r="I16" s="82">
        <v>-2</v>
      </c>
      <c r="J16" s="110"/>
      <c r="K16" s="84" t="str">
        <f t="shared" si="0"/>
        <v/>
      </c>
    </row>
    <row r="17" spans="1:11" x14ac:dyDescent="0.25">
      <c r="A17" s="68"/>
      <c r="B17" s="68"/>
      <c r="D17" s="81" t="s">
        <v>209</v>
      </c>
      <c r="E17" s="82" t="s">
        <v>57</v>
      </c>
      <c r="F17" s="82" t="s">
        <v>240</v>
      </c>
      <c r="G17" s="82" t="s">
        <v>253</v>
      </c>
      <c r="H17" s="82">
        <v>0</v>
      </c>
      <c r="I17" s="82">
        <v>1</v>
      </c>
      <c r="J17" s="82"/>
      <c r="K17" s="84" t="str">
        <f t="shared" si="0"/>
        <v/>
      </c>
    </row>
    <row r="18" spans="1:11" x14ac:dyDescent="0.25">
      <c r="A18" s="68"/>
      <c r="B18" s="68"/>
      <c r="D18" s="81" t="s">
        <v>208</v>
      </c>
      <c r="E18" s="82" t="s">
        <v>56</v>
      </c>
      <c r="F18" s="82" t="s">
        <v>239</v>
      </c>
      <c r="G18" s="82" t="s">
        <v>253</v>
      </c>
      <c r="H18" s="82">
        <v>150</v>
      </c>
      <c r="I18" s="82">
        <v>169</v>
      </c>
      <c r="J18" s="82"/>
      <c r="K18" s="84" t="str">
        <f t="shared" si="0"/>
        <v/>
      </c>
    </row>
    <row r="19" spans="1:11" x14ac:dyDescent="0.25">
      <c r="A19" s="68"/>
      <c r="B19" s="68"/>
      <c r="D19" s="81" t="s">
        <v>248</v>
      </c>
      <c r="E19" s="82" t="s">
        <v>252</v>
      </c>
      <c r="F19" s="82" t="s">
        <v>252</v>
      </c>
      <c r="G19" s="82" t="s">
        <v>254</v>
      </c>
      <c r="H19" s="82">
        <v>540</v>
      </c>
      <c r="I19" s="82">
        <v>-19</v>
      </c>
      <c r="J19" s="82"/>
      <c r="K19" s="84" t="str">
        <f t="shared" si="0"/>
        <v/>
      </c>
    </row>
    <row r="20" spans="1:11" x14ac:dyDescent="0.25">
      <c r="A20" s="68"/>
      <c r="B20" s="68"/>
      <c r="D20" s="81" t="s">
        <v>250</v>
      </c>
      <c r="E20" s="82" t="s">
        <v>252</v>
      </c>
      <c r="F20" s="82" t="s">
        <v>252</v>
      </c>
      <c r="G20" s="82" t="s">
        <v>254</v>
      </c>
      <c r="H20" s="82">
        <v>275904</v>
      </c>
      <c r="I20" s="82">
        <v>-1</v>
      </c>
      <c r="J20" s="82"/>
      <c r="K20" s="84" t="str">
        <f t="shared" si="0"/>
        <v/>
      </c>
    </row>
    <row r="21" spans="1:11" x14ac:dyDescent="0.25">
      <c r="A21" s="68"/>
      <c r="B21" s="68"/>
      <c r="D21" s="81" t="s">
        <v>202</v>
      </c>
      <c r="E21" s="82" t="s">
        <v>49</v>
      </c>
      <c r="F21" s="82" t="s">
        <v>238</v>
      </c>
      <c r="G21" s="82" t="s">
        <v>253</v>
      </c>
      <c r="H21" s="82">
        <v>23.76</v>
      </c>
      <c r="I21" s="82">
        <v>-15</v>
      </c>
      <c r="J21" s="82"/>
      <c r="K21" s="84" t="str">
        <f t="shared" si="0"/>
        <v/>
      </c>
    </row>
    <row r="22" spans="1:11" x14ac:dyDescent="0.25">
      <c r="A22" s="68"/>
      <c r="B22" s="68"/>
      <c r="D22" s="81" t="s">
        <v>216</v>
      </c>
      <c r="E22" s="82" t="s">
        <v>64</v>
      </c>
      <c r="F22" s="82" t="s">
        <v>240</v>
      </c>
      <c r="G22" s="82" t="s">
        <v>253</v>
      </c>
      <c r="H22" s="82">
        <v>13.2</v>
      </c>
      <c r="I22" s="82">
        <v>-27644</v>
      </c>
      <c r="J22" s="82"/>
      <c r="K22" s="84" t="str">
        <f t="shared" si="0"/>
        <v/>
      </c>
    </row>
    <row r="23" spans="1:11" x14ac:dyDescent="0.25">
      <c r="A23" s="68"/>
      <c r="B23" s="68"/>
      <c r="D23" s="81" t="s">
        <v>224</v>
      </c>
      <c r="E23" s="82" t="s">
        <v>236</v>
      </c>
      <c r="F23" s="82" t="s">
        <v>238</v>
      </c>
      <c r="G23" s="82" t="s">
        <v>253</v>
      </c>
      <c r="H23" s="82">
        <v>19.2</v>
      </c>
      <c r="I23" s="82">
        <v>650</v>
      </c>
      <c r="J23" s="82"/>
      <c r="K23" s="84" t="str">
        <f t="shared" si="0"/>
        <v/>
      </c>
    </row>
    <row r="24" spans="1:11" x14ac:dyDescent="0.25">
      <c r="A24" s="68"/>
      <c r="B24" s="68"/>
      <c r="D24" s="81" t="s">
        <v>207</v>
      </c>
      <c r="E24" s="82" t="s">
        <v>55</v>
      </c>
      <c r="F24" s="82" t="s">
        <v>239</v>
      </c>
      <c r="G24" s="82" t="s">
        <v>253</v>
      </c>
      <c r="H24" s="82">
        <v>95.58</v>
      </c>
      <c r="I24" s="82">
        <v>-165</v>
      </c>
      <c r="J24" s="82"/>
      <c r="K24" s="84" t="str">
        <f t="shared" si="0"/>
        <v/>
      </c>
    </row>
    <row r="25" spans="1:11" x14ac:dyDescent="0.25">
      <c r="A25" s="68"/>
      <c r="B25" s="68"/>
      <c r="D25" s="81"/>
      <c r="E25" s="82"/>
      <c r="F25" s="82"/>
      <c r="G25" s="82"/>
      <c r="H25" s="82"/>
      <c r="I25" s="82"/>
      <c r="J25" s="82"/>
      <c r="K25" s="84"/>
    </row>
    <row r="26" spans="1:11" x14ac:dyDescent="0.25">
      <c r="A26" s="68"/>
      <c r="B26" s="68"/>
      <c r="D26" s="81"/>
      <c r="E26" s="82"/>
      <c r="F26" s="82"/>
      <c r="G26" s="82"/>
      <c r="H26" s="82"/>
      <c r="I26" s="82"/>
      <c r="J26" s="82"/>
      <c r="K26" s="84"/>
    </row>
    <row r="27" spans="1:11" x14ac:dyDescent="0.25">
      <c r="A27" s="68"/>
      <c r="B27" s="68"/>
      <c r="D27" s="81"/>
      <c r="E27" s="82"/>
      <c r="F27" s="82"/>
      <c r="G27" s="82"/>
      <c r="H27" s="82"/>
      <c r="I27" s="82"/>
      <c r="J27" s="82"/>
      <c r="K27" s="84"/>
    </row>
    <row r="28" spans="1:11" x14ac:dyDescent="0.25">
      <c r="A28" s="68"/>
      <c r="B28" s="68"/>
      <c r="D28" s="81"/>
      <c r="E28" s="82"/>
      <c r="F28" s="82"/>
      <c r="G28" s="82"/>
      <c r="H28" s="82"/>
      <c r="I28" s="82"/>
      <c r="J28" s="82"/>
      <c r="K28" s="84"/>
    </row>
    <row r="29" spans="1:11" x14ac:dyDescent="0.25">
      <c r="A29" s="68"/>
      <c r="B29" s="68"/>
      <c r="D29" s="81"/>
      <c r="E29" s="82"/>
      <c r="F29" s="82"/>
      <c r="G29" s="82"/>
      <c r="H29" s="82"/>
      <c r="I29" s="82"/>
      <c r="J29" s="82"/>
      <c r="K29" s="84"/>
    </row>
    <row r="30" spans="1:11" x14ac:dyDescent="0.25">
      <c r="A30" s="68"/>
      <c r="B30" s="68"/>
      <c r="D30" s="81"/>
      <c r="E30" s="82"/>
      <c r="F30" s="82"/>
      <c r="G30" s="82"/>
      <c r="H30" s="82"/>
      <c r="I30" s="82"/>
      <c r="J30" s="82"/>
      <c r="K30" s="84"/>
    </row>
    <row r="31" spans="1:11" x14ac:dyDescent="0.25">
      <c r="A31" s="68"/>
      <c r="B31" s="68"/>
      <c r="D31" s="81"/>
      <c r="E31" s="82"/>
      <c r="F31" s="82"/>
      <c r="G31" s="82"/>
      <c r="H31" s="82"/>
      <c r="I31" s="82"/>
      <c r="J31" s="82"/>
      <c r="K31" s="84"/>
    </row>
    <row r="32" spans="1:11" x14ac:dyDescent="0.25">
      <c r="A32" s="68"/>
      <c r="B32" s="68"/>
      <c r="D32" s="81"/>
      <c r="E32" s="82"/>
      <c r="F32" s="82"/>
      <c r="G32" s="82"/>
      <c r="H32" s="82"/>
      <c r="I32" s="82"/>
      <c r="J32" s="82"/>
      <c r="K32" s="84"/>
    </row>
    <row r="33" spans="1:11" x14ac:dyDescent="0.25">
      <c r="A33" s="68"/>
      <c r="B33" s="68"/>
      <c r="D33" s="81"/>
      <c r="E33" s="82"/>
      <c r="F33" s="82"/>
      <c r="G33" s="82"/>
      <c r="H33" s="82"/>
      <c r="I33" s="82"/>
      <c r="J33" s="82"/>
      <c r="K33" s="84"/>
    </row>
    <row r="34" spans="1:11" x14ac:dyDescent="0.25">
      <c r="A34" s="68"/>
      <c r="B34" s="68"/>
      <c r="D34" s="81"/>
      <c r="E34" s="82"/>
      <c r="F34" s="82"/>
      <c r="G34" s="82"/>
      <c r="H34" s="82"/>
      <c r="I34" s="82"/>
      <c r="J34" s="82"/>
      <c r="K34" s="84"/>
    </row>
    <row r="35" spans="1:11" x14ac:dyDescent="0.25">
      <c r="A35" s="68"/>
      <c r="B35" s="68"/>
      <c r="D35" s="81"/>
      <c r="E35" s="82"/>
      <c r="F35" s="82"/>
      <c r="G35" s="82"/>
      <c r="H35" s="82"/>
      <c r="I35" s="82"/>
      <c r="J35" s="82"/>
      <c r="K35" s="84"/>
    </row>
    <row r="36" spans="1:11" x14ac:dyDescent="0.25">
      <c r="A36" s="68"/>
      <c r="B36" s="68"/>
      <c r="D36" s="81"/>
      <c r="E36" s="82"/>
      <c r="F36" s="82"/>
      <c r="G36" s="82"/>
      <c r="H36" s="82"/>
      <c r="I36" s="82"/>
      <c r="J36" s="82"/>
      <c r="K36" s="84"/>
    </row>
    <row r="37" spans="1:11" x14ac:dyDescent="0.25">
      <c r="A37" s="68"/>
      <c r="B37" s="68"/>
      <c r="D37" s="81"/>
      <c r="E37" s="82"/>
      <c r="F37" s="82"/>
      <c r="G37" s="82"/>
      <c r="H37" s="82"/>
      <c r="I37" s="82"/>
      <c r="J37" s="82"/>
      <c r="K37" s="84"/>
    </row>
    <row r="38" spans="1:11" x14ac:dyDescent="0.25">
      <c r="A38" s="68"/>
      <c r="B38" s="68"/>
      <c r="D38" s="81"/>
      <c r="E38" s="82"/>
      <c r="F38" s="82"/>
      <c r="G38" s="82"/>
      <c r="H38" s="82"/>
      <c r="I38" s="82"/>
      <c r="J38" s="82"/>
      <c r="K38" s="84"/>
    </row>
    <row r="39" spans="1:11" x14ac:dyDescent="0.25">
      <c r="A39" s="68"/>
      <c r="B39" s="68"/>
      <c r="D39" s="81"/>
      <c r="E39" s="82"/>
      <c r="F39" s="82"/>
      <c r="G39" s="82"/>
      <c r="H39" s="82"/>
      <c r="I39" s="82"/>
      <c r="J39" s="82"/>
      <c r="K39" s="84"/>
    </row>
    <row r="40" spans="1:11" x14ac:dyDescent="0.25">
      <c r="A40" s="68"/>
      <c r="B40" s="68"/>
      <c r="D40" s="81"/>
      <c r="E40" s="82"/>
      <c r="F40" s="82"/>
      <c r="G40" s="82"/>
      <c r="H40" s="82"/>
      <c r="I40" s="82"/>
      <c r="J40" s="82"/>
      <c r="K40" s="84"/>
    </row>
    <row r="41" spans="1:11" x14ac:dyDescent="0.25">
      <c r="A41" s="68"/>
      <c r="B41" s="68"/>
      <c r="D41" s="81"/>
      <c r="E41" s="82"/>
      <c r="F41" s="82"/>
      <c r="G41" s="82"/>
      <c r="H41" s="82"/>
      <c r="I41" s="82"/>
      <c r="J41" s="82"/>
      <c r="K41" s="84"/>
    </row>
    <row r="42" spans="1:11" x14ac:dyDescent="0.25">
      <c r="D42" s="81"/>
      <c r="E42" s="82"/>
      <c r="F42" s="82"/>
      <c r="G42" s="82"/>
      <c r="H42" s="82"/>
      <c r="I42" s="82"/>
      <c r="J42" s="82"/>
      <c r="K42" s="84"/>
    </row>
    <row r="43" spans="1:11" x14ac:dyDescent="0.25">
      <c r="D43" s="81"/>
      <c r="E43" s="82"/>
      <c r="F43" s="82"/>
      <c r="G43" s="82"/>
      <c r="H43" s="82"/>
      <c r="I43" s="82"/>
      <c r="J43" s="82"/>
      <c r="K43" s="84"/>
    </row>
    <row r="44" spans="1:11" x14ac:dyDescent="0.25">
      <c r="D44" s="81"/>
      <c r="E44" s="82"/>
      <c r="F44" s="82"/>
      <c r="G44" s="82"/>
      <c r="H44" s="82"/>
      <c r="I44" s="82"/>
      <c r="J44" s="82"/>
      <c r="K44" s="84"/>
    </row>
    <row r="45" spans="1:11" x14ac:dyDescent="0.25">
      <c r="D45" s="81"/>
      <c r="E45" s="82"/>
      <c r="F45" s="82"/>
      <c r="G45" s="82"/>
      <c r="H45" s="82"/>
      <c r="I45" s="82"/>
      <c r="J45" s="82"/>
      <c r="K45" s="84"/>
    </row>
    <row r="46" spans="1:11" x14ac:dyDescent="0.25">
      <c r="D46" s="81"/>
      <c r="E46" s="82"/>
      <c r="F46" s="82"/>
      <c r="G46" s="82"/>
      <c r="H46" s="82"/>
      <c r="I46" s="82"/>
      <c r="J46" s="82"/>
      <c r="K46" s="84"/>
    </row>
    <row r="47" spans="1:11" x14ac:dyDescent="0.25">
      <c r="D47" s="81"/>
      <c r="E47" s="82"/>
      <c r="F47" s="82"/>
      <c r="G47" s="82"/>
      <c r="H47" s="82"/>
      <c r="I47" s="82"/>
      <c r="J47" s="82"/>
      <c r="K47" s="84"/>
    </row>
    <row r="48" spans="1:11" x14ac:dyDescent="0.25">
      <c r="D48" s="81"/>
      <c r="E48" s="82"/>
      <c r="F48" s="82"/>
      <c r="G48" s="82"/>
      <c r="H48" s="82"/>
      <c r="I48" s="82"/>
      <c r="J48" s="82"/>
      <c r="K48" s="84"/>
    </row>
    <row r="49" spans="4:11" x14ac:dyDescent="0.25">
      <c r="D49" s="81"/>
      <c r="E49" s="82"/>
      <c r="F49" s="82"/>
      <c r="G49" s="82"/>
      <c r="H49" s="82"/>
      <c r="I49" s="82"/>
      <c r="J49" s="82"/>
      <c r="K49" s="84"/>
    </row>
    <row r="50" spans="4:11" x14ac:dyDescent="0.25">
      <c r="D50" s="81"/>
      <c r="E50" s="82"/>
      <c r="F50" s="82"/>
      <c r="G50" s="82"/>
      <c r="H50" s="82"/>
      <c r="I50" s="82"/>
      <c r="J50" s="82"/>
      <c r="K50" s="84"/>
    </row>
    <row r="51" spans="4:11" x14ac:dyDescent="0.25">
      <c r="D51" s="81"/>
      <c r="E51" s="82"/>
      <c r="F51" s="82"/>
      <c r="G51" s="82"/>
      <c r="H51" s="82"/>
      <c r="I51" s="82"/>
      <c r="J51" s="82"/>
      <c r="K51" s="84"/>
    </row>
    <row r="52" spans="4:11" x14ac:dyDescent="0.25">
      <c r="D52" s="81"/>
      <c r="E52" s="82"/>
      <c r="F52" s="82"/>
      <c r="G52" s="82"/>
      <c r="H52" s="82"/>
      <c r="I52" s="82"/>
      <c r="J52" s="82"/>
      <c r="K52" s="84"/>
    </row>
    <row r="53" spans="4:11" x14ac:dyDescent="0.25">
      <c r="D53" s="81"/>
      <c r="E53" s="82"/>
      <c r="F53" s="82"/>
      <c r="G53" s="82"/>
      <c r="H53" s="82"/>
      <c r="I53" s="82"/>
      <c r="J53" s="82"/>
      <c r="K53" s="84"/>
    </row>
    <row r="54" spans="4:11" x14ac:dyDescent="0.25">
      <c r="D54" s="81"/>
      <c r="E54" s="82"/>
      <c r="F54" s="82"/>
      <c r="G54" s="82"/>
      <c r="H54" s="82"/>
      <c r="I54" s="82"/>
      <c r="J54" s="82"/>
      <c r="K54" s="84"/>
    </row>
    <row r="55" spans="4:11" x14ac:dyDescent="0.25">
      <c r="D55" s="81"/>
      <c r="E55" s="82"/>
      <c r="F55" s="82"/>
      <c r="G55" s="82"/>
      <c r="H55" s="82"/>
      <c r="I55" s="82"/>
      <c r="J55" s="82"/>
      <c r="K55" s="84"/>
    </row>
    <row r="56" spans="4:11" x14ac:dyDescent="0.25">
      <c r="D56" s="81"/>
      <c r="E56" s="82"/>
      <c r="F56" s="82"/>
      <c r="G56" s="82"/>
      <c r="H56" s="82"/>
      <c r="I56" s="82"/>
      <c r="J56" s="82"/>
      <c r="K56" s="85"/>
    </row>
    <row r="57" spans="4:11" x14ac:dyDescent="0.25">
      <c r="D57" s="81"/>
      <c r="E57" s="82"/>
      <c r="F57" s="82"/>
      <c r="G57" s="82"/>
      <c r="H57" s="82"/>
      <c r="I57" s="82"/>
      <c r="J57" s="82"/>
      <c r="K57" s="85"/>
    </row>
    <row r="58" spans="4:11" x14ac:dyDescent="0.25">
      <c r="D58" s="81"/>
      <c r="E58" s="82"/>
      <c r="F58" s="82"/>
      <c r="G58" s="82"/>
      <c r="H58" s="82"/>
      <c r="I58" s="82"/>
      <c r="J58" s="82"/>
      <c r="K58" s="85"/>
    </row>
    <row r="59" spans="4:11" x14ac:dyDescent="0.25">
      <c r="D59" s="81"/>
      <c r="E59" s="82"/>
      <c r="F59" s="82"/>
      <c r="G59" s="82"/>
      <c r="H59" s="82"/>
      <c r="I59" s="82"/>
      <c r="J59" s="82"/>
      <c r="K59" s="85"/>
    </row>
    <row r="60" spans="4:11" x14ac:dyDescent="0.25">
      <c r="D60" s="81"/>
      <c r="E60" s="82"/>
      <c r="F60" s="82"/>
      <c r="G60" s="82"/>
      <c r="H60" s="82"/>
      <c r="I60" s="82"/>
      <c r="J60" s="82"/>
      <c r="K60" s="85"/>
    </row>
    <row r="61" spans="4:11" x14ac:dyDescent="0.25">
      <c r="D61" s="81"/>
      <c r="E61" s="82"/>
      <c r="F61" s="82"/>
      <c r="G61" s="82"/>
      <c r="H61" s="82"/>
      <c r="I61" s="82"/>
      <c r="J61" s="82"/>
      <c r="K61" s="85"/>
    </row>
    <row r="62" spans="4:11" x14ac:dyDescent="0.25">
      <c r="D62" s="81"/>
      <c r="E62" s="82"/>
      <c r="F62" s="82"/>
      <c r="G62" s="82"/>
      <c r="H62" s="82"/>
      <c r="I62" s="82"/>
      <c r="J62" s="82"/>
      <c r="K62" s="85"/>
    </row>
    <row r="63" spans="4:11" x14ac:dyDescent="0.25">
      <c r="D63" s="81"/>
      <c r="E63" s="82"/>
      <c r="F63" s="82"/>
      <c r="G63" s="82"/>
      <c r="H63" s="82"/>
      <c r="I63" s="82"/>
      <c r="J63" s="82"/>
      <c r="K63" s="85"/>
    </row>
    <row r="64" spans="4:11" x14ac:dyDescent="0.25">
      <c r="D64" s="81"/>
      <c r="E64" s="82"/>
      <c r="F64" s="82"/>
      <c r="G64" s="82"/>
      <c r="H64" s="82"/>
      <c r="I64" s="82"/>
      <c r="J64" s="82"/>
      <c r="K64" s="85"/>
    </row>
    <row r="65" spans="4:11" x14ac:dyDescent="0.25">
      <c r="D65" s="81"/>
      <c r="E65" s="82"/>
      <c r="F65" s="82"/>
      <c r="G65" s="82"/>
      <c r="H65" s="82"/>
      <c r="I65" s="82"/>
      <c r="J65" s="82"/>
      <c r="K65" s="85"/>
    </row>
    <row r="66" spans="4:11" x14ac:dyDescent="0.25">
      <c r="D66" s="81"/>
      <c r="E66" s="82"/>
      <c r="F66" s="82"/>
      <c r="G66" s="82"/>
      <c r="H66" s="82"/>
      <c r="I66" s="82"/>
      <c r="J66" s="82"/>
      <c r="K66" s="85"/>
    </row>
    <row r="67" spans="4:11" x14ac:dyDescent="0.25">
      <c r="D67" s="81"/>
      <c r="E67" s="82"/>
      <c r="F67" s="82"/>
      <c r="G67" s="82"/>
      <c r="H67" s="82"/>
      <c r="I67" s="82"/>
      <c r="J67" s="82"/>
      <c r="K67" s="85"/>
    </row>
    <row r="68" spans="4:11" x14ac:dyDescent="0.25">
      <c r="D68" s="81"/>
      <c r="E68" s="82"/>
      <c r="F68" s="82"/>
      <c r="G68" s="82"/>
      <c r="H68" s="82"/>
      <c r="I68" s="82"/>
      <c r="J68" s="82"/>
      <c r="K68" s="85"/>
    </row>
    <row r="69" spans="4:11" x14ac:dyDescent="0.25">
      <c r="D69" s="81"/>
      <c r="E69" s="82"/>
      <c r="F69" s="82"/>
      <c r="G69" s="82"/>
      <c r="H69" s="82"/>
      <c r="I69" s="82"/>
      <c r="J69" s="82"/>
      <c r="K69" s="85"/>
    </row>
    <row r="70" spans="4:11" ht="15.75" thickBot="1" x14ac:dyDescent="0.3">
      <c r="D70" s="86"/>
      <c r="E70" s="87"/>
      <c r="F70" s="87"/>
      <c r="G70" s="87"/>
      <c r="H70" s="87"/>
      <c r="I70" s="87"/>
      <c r="J70" s="87"/>
      <c r="K70" s="88"/>
    </row>
  </sheetData>
  <conditionalFormatting sqref="D10:K70">
    <cfRule type="expression" dxfId="16" priority="1">
      <formula>AND($D10&lt;&gt;"",MOD(ROW(),2)=0)</formula>
    </cfRule>
  </conditionalFormatting>
  <dataValidations count="2">
    <dataValidation type="list" allowBlank="1" showInputMessage="1" showErrorMessage="1" sqref="F4">
      <formula1>Noms_MagasinsEtTous</formula1>
    </dataValidation>
    <dataValidation type="list" allowBlank="1" showInputMessage="1" showErrorMessage="1" sqref="I4">
      <formula1>Liste_PourTriInv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7" tint="0.39997558519241921"/>
  </sheetPr>
  <dimension ref="A1"/>
  <sheetViews>
    <sheetView showGridLines="0" showRowColHeaders="0" zoomScale="80" zoomScaleNormal="80" workbookViewId="0">
      <selection activeCell="S14" sqref="S14"/>
    </sheetView>
  </sheetViews>
  <sheetFormatPr baseColWidth="10" defaultRowHeight="15" x14ac:dyDescent="0.25"/>
  <cols>
    <col min="1" max="16384" width="11.42578125" style="131"/>
  </cols>
  <sheetData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resArticles"/>
  <dimension ref="A1:AR52"/>
  <sheetViews>
    <sheetView zoomScaleNormal="100" workbookViewId="0">
      <pane ySplit="3" topLeftCell="A28" activePane="bottomLeft" state="frozen"/>
      <selection pane="bottomLeft" activeCell="AI4" sqref="AI4:AN18"/>
    </sheetView>
  </sheetViews>
  <sheetFormatPr baseColWidth="10" defaultRowHeight="15" x14ac:dyDescent="0.25"/>
  <cols>
    <col min="1" max="1" width="5" customWidth="1"/>
    <col min="2" max="2" width="13.5703125" customWidth="1"/>
    <col min="3" max="3" width="12.42578125" customWidth="1"/>
    <col min="4" max="4" width="16.7109375" bestFit="1" customWidth="1"/>
    <col min="5" max="5" width="7" bestFit="1" customWidth="1"/>
    <col min="6" max="6" width="8" bestFit="1" customWidth="1"/>
    <col min="7" max="7" width="10.28515625" customWidth="1"/>
    <col min="8" max="9" width="15.5703125" bestFit="1" customWidth="1"/>
    <col min="10" max="10" width="11.28515625" bestFit="1" customWidth="1"/>
    <col min="11" max="11" width="13" bestFit="1" customWidth="1"/>
    <col min="12" max="12" width="19.42578125" bestFit="1" customWidth="1"/>
    <col min="13" max="13" width="12.85546875" customWidth="1"/>
    <col min="14" max="14" width="7.28515625" customWidth="1"/>
    <col min="16" max="16" width="7.85546875" bestFit="1" customWidth="1"/>
    <col min="17" max="17" width="7.85546875" customWidth="1"/>
    <col min="18" max="18" width="4.28515625" customWidth="1"/>
    <col min="19" max="19" width="16.7109375" bestFit="1" customWidth="1"/>
    <col min="20" max="21" width="7.28515625" customWidth="1"/>
    <col min="22" max="22" width="8.140625" bestFit="1" customWidth="1"/>
    <col min="23" max="23" width="9.7109375" bestFit="1" customWidth="1"/>
    <col min="24" max="24" width="7.28515625" bestFit="1" customWidth="1"/>
    <col min="25" max="25" width="13" bestFit="1" customWidth="1"/>
    <col min="26" max="26" width="9.140625" bestFit="1" customWidth="1"/>
    <col min="27" max="27" width="10.140625" bestFit="1" customWidth="1"/>
    <col min="28" max="29" width="10.140625" customWidth="1"/>
    <col min="33" max="33" width="14.85546875" customWidth="1"/>
    <col min="35" max="35" width="18.7109375" customWidth="1"/>
    <col min="36" max="36" width="8.85546875" bestFit="1" customWidth="1"/>
    <col min="37" max="37" width="31.140625" customWidth="1"/>
  </cols>
  <sheetData>
    <row r="1" spans="1:44" x14ac:dyDescent="0.25">
      <c r="AI1" s="1" t="s">
        <v>89</v>
      </c>
      <c r="AJ1" s="1" t="s">
        <v>45</v>
      </c>
      <c r="AK1" s="1" t="s">
        <v>47</v>
      </c>
      <c r="AL1" s="1" t="s">
        <v>48</v>
      </c>
      <c r="AM1" s="1" t="s">
        <v>85</v>
      </c>
      <c r="AN1" s="1" t="s">
        <v>122</v>
      </c>
    </row>
    <row r="2" spans="1:44" ht="18.75" x14ac:dyDescent="0.3">
      <c r="A2" s="109" t="s">
        <v>142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P2" s="72" t="s">
        <v>27</v>
      </c>
      <c r="Q2" s="72" t="s">
        <v>28</v>
      </c>
      <c r="S2" s="1" t="s">
        <v>120</v>
      </c>
      <c r="AD2" t="s">
        <v>101</v>
      </c>
      <c r="AF2" s="72" t="s">
        <v>123</v>
      </c>
      <c r="AI2" s="1" t="s">
        <v>121</v>
      </c>
    </row>
    <row r="3" spans="1:44" x14ac:dyDescent="0.25">
      <c r="A3" t="s">
        <v>31</v>
      </c>
      <c r="B3" t="s">
        <v>19</v>
      </c>
      <c r="C3" t="s">
        <v>90</v>
      </c>
      <c r="D3" t="s">
        <v>89</v>
      </c>
      <c r="E3" t="s">
        <v>32</v>
      </c>
      <c r="F3" t="s">
        <v>85</v>
      </c>
      <c r="G3" t="s">
        <v>87</v>
      </c>
      <c r="H3" t="s">
        <v>91</v>
      </c>
      <c r="I3" t="s">
        <v>92</v>
      </c>
      <c r="J3" t="s">
        <v>30</v>
      </c>
      <c r="K3" t="s">
        <v>24</v>
      </c>
      <c r="L3" t="s">
        <v>25</v>
      </c>
      <c r="M3" t="s">
        <v>93</v>
      </c>
      <c r="N3" t="s">
        <v>94</v>
      </c>
      <c r="P3" s="73" t="s">
        <v>31</v>
      </c>
      <c r="Q3" s="73" t="s">
        <v>31</v>
      </c>
      <c r="S3" t="s">
        <v>89</v>
      </c>
      <c r="T3" t="s">
        <v>32</v>
      </c>
      <c r="U3" t="s">
        <v>85</v>
      </c>
      <c r="V3" t="s">
        <v>87</v>
      </c>
      <c r="W3" t="s">
        <v>91</v>
      </c>
      <c r="X3" t="s">
        <v>92</v>
      </c>
      <c r="Y3" t="s">
        <v>30</v>
      </c>
      <c r="Z3" t="s">
        <v>24</v>
      </c>
      <c r="AA3" t="s">
        <v>25</v>
      </c>
      <c r="AB3" t="s">
        <v>93</v>
      </c>
      <c r="AC3" t="s">
        <v>94</v>
      </c>
      <c r="AD3" t="s">
        <v>94</v>
      </c>
      <c r="AF3" s="1" t="s">
        <v>91</v>
      </c>
      <c r="AG3" s="1" t="s">
        <v>92</v>
      </c>
      <c r="AI3" s="1" t="s">
        <v>89</v>
      </c>
      <c r="AJ3" s="4" t="str">
        <f ca="1">IFERROR(INDEX(Data_Articles,MATCH(AI4,Nom_Articles,0),4),"")</f>
        <v/>
      </c>
      <c r="AK3" s="4" t="str">
        <f ca="1">IFERROR(INDEX(Data_Articles,MATCH(AI4,Nom_Articles,0),6),"")</f>
        <v/>
      </c>
      <c r="AL3" s="4" t="str">
        <f ca="1">IFERROR(INDEX(Data_Articles,MATCH(AI4,Nom_Articles,0),7),"")</f>
        <v/>
      </c>
      <c r="AM3" s="4" t="str">
        <f ca="1">IFERROR(INDEX(Data_Articles,MATCH(AI4,Nom_Articles,0),11),"")</f>
        <v/>
      </c>
      <c r="AN3" s="4">
        <f ca="1">IF($AF$4="*",SUMPRODUCT(((Liste_TypeOrdre="Reception")+(Liste_TypeOrdre="Inventaire"))*(Liste_ArticlesAchetesEtVendus=AI4)*Quantités)-SUMPRODUCT((Liste_TypeOrdre="Transfert")*(Liste_ArticlesAchetesEtVendus=AI4)*Quantités),SUMPRODUCT((Liste_AllantA=$AF$4)*(Liste_ArticlesAchetesEtVendus=AI4)*Quantités)-SUMPRODUCT((Liste_VenantDe=$AF$4)*(Liste_ArticlesAchetesEtVendus=AI4)*Quantités))</f>
        <v>-10</v>
      </c>
      <c r="AO3" s="74" t="s">
        <v>124</v>
      </c>
      <c r="AP3" s="74"/>
      <c r="AQ3" s="74"/>
      <c r="AR3" s="74"/>
    </row>
    <row r="4" spans="1:44" x14ac:dyDescent="0.25">
      <c r="A4">
        <v>1</v>
      </c>
      <c r="B4" t="s">
        <v>27</v>
      </c>
      <c r="C4" t="s">
        <v>29</v>
      </c>
      <c r="D4" t="s">
        <v>242</v>
      </c>
      <c r="E4">
        <v>10</v>
      </c>
      <c r="F4">
        <v>78</v>
      </c>
      <c r="G4">
        <v>780</v>
      </c>
      <c r="H4" t="s">
        <v>2</v>
      </c>
      <c r="I4" t="s">
        <v>159</v>
      </c>
      <c r="K4" t="s">
        <v>147</v>
      </c>
      <c r="L4" t="s">
        <v>153</v>
      </c>
      <c r="N4">
        <f>ROW()</f>
        <v>4</v>
      </c>
      <c r="P4" s="72">
        <f>Reception!B1</f>
        <v>20</v>
      </c>
      <c r="Q4" s="72">
        <f>Transfert!B1</f>
        <v>19</v>
      </c>
      <c r="S4" t="s">
        <v>250</v>
      </c>
      <c r="T4">
        <v>1</v>
      </c>
      <c r="U4">
        <v>275904</v>
      </c>
      <c r="V4">
        <v>275904</v>
      </c>
      <c r="W4" t="s">
        <v>201</v>
      </c>
      <c r="X4" t="s">
        <v>158</v>
      </c>
      <c r="Z4" t="s">
        <v>147</v>
      </c>
      <c r="AA4" t="s">
        <v>154</v>
      </c>
      <c r="AC4">
        <v>13</v>
      </c>
      <c r="AD4">
        <v>12</v>
      </c>
      <c r="AF4" s="72" t="str">
        <f>IF(Inventaire!F4="[Tous les magasins]","*",Inventaire!F4)</f>
        <v>*</v>
      </c>
      <c r="AI4" t="s">
        <v>242</v>
      </c>
      <c r="AJ4" t="str">
        <f ca="1">IFERROR(INDEX(Data_Articles,MATCH(AI4,Nom_Articles,0),4),"")</f>
        <v/>
      </c>
      <c r="AK4" t="str">
        <f ca="1">IFERROR(INDEX(Data_Articles,MATCH(AI4,Nom_Articles,0),6),"")</f>
        <v/>
      </c>
      <c r="AL4" t="str">
        <f ca="1">IFERROR(INDEX(Data_Articles,MATCH(AI4,Nom_Articles,0),7),"")</f>
        <v/>
      </c>
      <c r="AM4" t="str">
        <f ca="1">IFERROR(INDEX(Data_Articles,MATCH(AI4,Nom_Articles,0),11),"")</f>
        <v/>
      </c>
      <c r="AN4">
        <f ca="1">IF($AF$4="*",SUMPRODUCT(((Liste_TypeOrdre="Reception")+(Liste_TypeOrdre="Inventaire"))*(Liste_ArticlesAchetesEtVendus=AI4)*Quantités)-SUMPRODUCT((Liste_TypeOrdre="Transfert")*(Liste_ArticlesAchetesEtVendus=AI4)*Quantités),SUMPRODUCT((Liste_AllantA=$AF$4)*(Liste_ArticlesAchetesEtVendus=AI4)*Quantités)-SUMPRODUCT((Liste_VenantDe=$AF$4)*(Liste_ArticlesAchetesEtVendus=AI4)*Quantités))</f>
        <v>-10</v>
      </c>
    </row>
    <row r="5" spans="1:44" x14ac:dyDescent="0.25">
      <c r="A5">
        <v>1</v>
      </c>
      <c r="B5" t="s">
        <v>27</v>
      </c>
      <c r="C5" t="s">
        <v>29</v>
      </c>
      <c r="D5" t="s">
        <v>202</v>
      </c>
      <c r="E5">
        <v>15</v>
      </c>
      <c r="F5">
        <v>14.99</v>
      </c>
      <c r="G5">
        <v>224.85</v>
      </c>
      <c r="H5" t="s">
        <v>2</v>
      </c>
      <c r="I5" t="s">
        <v>159</v>
      </c>
      <c r="K5" t="s">
        <v>147</v>
      </c>
      <c r="L5" t="s">
        <v>153</v>
      </c>
      <c r="N5">
        <f>ROW()</f>
        <v>5</v>
      </c>
      <c r="AD5">
        <v>13</v>
      </c>
      <c r="AG5" t="str">
        <f>AF4</f>
        <v>*</v>
      </c>
      <c r="AI5" s="133" t="s">
        <v>217</v>
      </c>
      <c r="AJ5" t="str">
        <f ca="1">IFERROR(INDEX(Data_Articles,MATCH(AI5,Nom_Articles,0),4),"")</f>
        <v>1D520</v>
      </c>
      <c r="AK5" t="str">
        <f ca="1">IFERROR(INDEX(Data_Articles,MATCH(AI5,Nom_Articles,0),6),"")</f>
        <v>MP PEHD LN</v>
      </c>
      <c r="AL5" t="str">
        <f ca="1">IFERROR(INDEX(Data_Articles,MATCH(AI5,Nom_Articles,0),7),"")</f>
        <v>Melangeur</v>
      </c>
      <c r="AM5">
        <f ca="1">IFERROR(INDEX(Data_Articles,MATCH(AI5,Nom_Articles,0),11),"")</f>
        <v>0</v>
      </c>
      <c r="AN5">
        <f ca="1">IF($AF$4="*",SUMPRODUCT(((Liste_TypeOrdre="Reception")+(Liste_TypeOrdre="Inventaire"))*(Liste_ArticlesAchetesEtVendus=AI5)*Quantités)-SUMPRODUCT((Liste_TypeOrdre="Transfert")*(Liste_ArticlesAchetesEtVendus=AI5)*Quantités),SUMPRODUCT((Liste_AllantA=$AF$4)*(Liste_ArticlesAchetesEtVendus=AI5)*Quantités)-SUMPRODUCT((Liste_VenantDe=$AF$4)*(Liste_ArticlesAchetesEtVendus=AI5)*Quantités))</f>
        <v>-490</v>
      </c>
    </row>
    <row r="6" spans="1:44" x14ac:dyDescent="0.25">
      <c r="A6">
        <v>8</v>
      </c>
      <c r="B6" t="s">
        <v>28</v>
      </c>
      <c r="C6" t="s">
        <v>33</v>
      </c>
      <c r="D6" t="s">
        <v>209</v>
      </c>
      <c r="E6">
        <v>1</v>
      </c>
      <c r="F6">
        <v>48</v>
      </c>
      <c r="G6">
        <v>48</v>
      </c>
      <c r="H6" t="s">
        <v>159</v>
      </c>
      <c r="I6" t="s">
        <v>201</v>
      </c>
      <c r="K6" t="s">
        <v>147</v>
      </c>
      <c r="L6" t="s">
        <v>153</v>
      </c>
      <c r="N6">
        <f>ROW()</f>
        <v>6</v>
      </c>
      <c r="AD6">
        <v>15</v>
      </c>
      <c r="AI6" t="s">
        <v>203</v>
      </c>
      <c r="AJ6" t="str">
        <f ca="1">IFERROR(INDEX(Data_Articles,MATCH(AI6,Nom_Articles,0),4),"")</f>
        <v>F4517</v>
      </c>
      <c r="AK6" t="str">
        <f ca="1">IFERROR(INDEX(Data_Articles,MATCH(AI6,Nom_Articles,0),6),"")</f>
        <v>MP PVC PRESSION</v>
      </c>
      <c r="AL6" t="str">
        <f ca="1">IFERROR(INDEX(Data_Articles,MATCH(AI6,Nom_Articles,0),7),"")</f>
        <v>Melangeur</v>
      </c>
      <c r="AM6">
        <f ca="1">IFERROR(INDEX(Data_Articles,MATCH(AI6,Nom_Articles,0),11),"")</f>
        <v>23.76</v>
      </c>
      <c r="AN6">
        <f ca="1">IF($AF$4="*",SUMPRODUCT(((Liste_TypeOrdre="Reception")+(Liste_TypeOrdre="Inventaire"))*(Liste_ArticlesAchetesEtVendus=AI6)*Quantités)-SUMPRODUCT((Liste_TypeOrdre="Transfert")*(Liste_ArticlesAchetesEtVendus=AI6)*Quantités),SUMPRODUCT((Liste_AllantA=$AF$4)*(Liste_ArticlesAchetesEtVendus=AI6)*Quantités)-SUMPRODUCT((Liste_VenantDe=$AF$4)*(Liste_ArticlesAchetesEtVendus=AI6)*Quantités))</f>
        <v>3</v>
      </c>
    </row>
    <row r="7" spans="1:44" x14ac:dyDescent="0.25">
      <c r="A7">
        <v>9</v>
      </c>
      <c r="B7" t="s">
        <v>28</v>
      </c>
      <c r="C7" t="s">
        <v>33</v>
      </c>
      <c r="D7" t="s">
        <v>247</v>
      </c>
      <c r="E7">
        <v>1</v>
      </c>
      <c r="G7">
        <v>0</v>
      </c>
      <c r="H7" t="s">
        <v>158</v>
      </c>
      <c r="I7" t="s">
        <v>187</v>
      </c>
      <c r="K7" t="s">
        <v>147</v>
      </c>
      <c r="L7" t="s">
        <v>153</v>
      </c>
      <c r="N7">
        <f>ROW()</f>
        <v>7</v>
      </c>
      <c r="AD7">
        <v>16</v>
      </c>
      <c r="AI7" t="s">
        <v>221</v>
      </c>
      <c r="AJ7" t="str">
        <f ca="1">IFERROR(INDEX(Data_Articles,MATCH(AI7,Nom_Articles,0),4),"")</f>
        <v>MND23</v>
      </c>
      <c r="AK7" t="str">
        <f ca="1">IFERROR(INDEX(Data_Articles,MATCH(AI7,Nom_Articles,0),6),"")</f>
        <v>MP PEHD LN</v>
      </c>
      <c r="AL7" t="str">
        <f ca="1">IFERROR(INDEX(Data_Articles,MATCH(AI7,Nom_Articles,0),7),"")</f>
        <v>Melangeur</v>
      </c>
      <c r="AM7">
        <f ca="1">IFERROR(INDEX(Data_Articles,MATCH(AI7,Nom_Articles,0),11),"")</f>
        <v>12</v>
      </c>
      <c r="AN7">
        <f ca="1">IF($AF$4="*",SUMPRODUCT(((Liste_TypeOrdre="Reception")+(Liste_TypeOrdre="Inventaire"))*(Liste_ArticlesAchetesEtVendus=AI7)*Quantités)-SUMPRODUCT((Liste_TypeOrdre="Transfert")*(Liste_ArticlesAchetesEtVendus=AI7)*Quantités),SUMPRODUCT((Liste_AllantA=$AF$4)*(Liste_ArticlesAchetesEtVendus=AI7)*Quantités)-SUMPRODUCT((Liste_VenantDe=$AF$4)*(Liste_ArticlesAchetesEtVendus=AI7)*Quantités))</f>
        <v>68</v>
      </c>
    </row>
    <row r="8" spans="1:44" x14ac:dyDescent="0.25">
      <c r="A8">
        <v>10</v>
      </c>
      <c r="B8" t="s">
        <v>27</v>
      </c>
      <c r="C8" t="s">
        <v>33</v>
      </c>
      <c r="D8" t="s">
        <v>221</v>
      </c>
      <c r="E8">
        <v>34</v>
      </c>
      <c r="F8">
        <v>12</v>
      </c>
      <c r="G8">
        <v>408</v>
      </c>
      <c r="H8" t="s">
        <v>159</v>
      </c>
      <c r="I8" t="s">
        <v>201</v>
      </c>
      <c r="K8" t="s">
        <v>146</v>
      </c>
      <c r="L8" t="s">
        <v>156</v>
      </c>
      <c r="N8">
        <f>ROW()</f>
        <v>8</v>
      </c>
      <c r="AI8" t="s">
        <v>205</v>
      </c>
      <c r="AJ8" t="str">
        <f ca="1">IFERROR(INDEX(Data_Articles,MATCH(AI8,Nom_Articles,0),4),"")</f>
        <v>F4519</v>
      </c>
      <c r="AK8" t="str">
        <f ca="1">IFERROR(INDEX(Data_Articles,MATCH(AI8,Nom_Articles,0),6),"")</f>
        <v>MP PVC PRESSION</v>
      </c>
      <c r="AL8" t="str">
        <f ca="1">IFERROR(INDEX(Data_Articles,MATCH(AI8,Nom_Articles,0),7),"")</f>
        <v>Melangeur</v>
      </c>
      <c r="AM8">
        <f ca="1">IFERROR(INDEX(Data_Articles,MATCH(AI8,Nom_Articles,0),11),"")</f>
        <v>21</v>
      </c>
      <c r="AN8">
        <f ca="1">IF($AF$4="*",SUMPRODUCT(((Liste_TypeOrdre="Reception")+(Liste_TypeOrdre="Inventaire"))*(Liste_ArticlesAchetesEtVendus=AI8)*Quantités)-SUMPRODUCT((Liste_TypeOrdre="Transfert")*(Liste_ArticlesAchetesEtVendus=AI8)*Quantités),SUMPRODUCT((Liste_AllantA=$AF$4)*(Liste_ArticlesAchetesEtVendus=AI8)*Quantités)-SUMPRODUCT((Liste_VenantDe=$AF$4)*(Liste_ArticlesAchetesEtVendus=AI8)*Quantités))</f>
        <v>-62087</v>
      </c>
    </row>
    <row r="9" spans="1:44" x14ac:dyDescent="0.25">
      <c r="A9">
        <v>11</v>
      </c>
      <c r="B9" t="s">
        <v>27</v>
      </c>
      <c r="C9" t="s">
        <v>33</v>
      </c>
      <c r="D9" t="s">
        <v>203</v>
      </c>
      <c r="E9">
        <v>1</v>
      </c>
      <c r="F9">
        <v>23.76</v>
      </c>
      <c r="G9">
        <v>23.76</v>
      </c>
      <c r="H9" t="s">
        <v>159</v>
      </c>
      <c r="I9" t="s">
        <v>201</v>
      </c>
      <c r="K9" t="s">
        <v>148</v>
      </c>
      <c r="L9" t="s">
        <v>255</v>
      </c>
      <c r="N9">
        <f>ROW()</f>
        <v>9</v>
      </c>
      <c r="AI9" s="134" t="s">
        <v>246</v>
      </c>
      <c r="AJ9" t="str">
        <f ca="1">IFERROR(INDEX(Data_Articles,MATCH(AI9,Nom_Articles,0),4),"")</f>
        <v>PEHD</v>
      </c>
      <c r="AK9" t="str">
        <f ca="1">IFERROR(INDEX(Data_Articles,MATCH(AI9,Nom_Articles,0),6),"")</f>
        <v>PEHD</v>
      </c>
      <c r="AL9" t="str">
        <f ca="1">IFERROR(INDEX(Data_Articles,MATCH(AI9,Nom_Articles,0),7),"")</f>
        <v>à vendre</v>
      </c>
      <c r="AM9">
        <f ca="1">IFERROR(INDEX(Data_Articles,MATCH(AI9,Nom_Articles,0),11),"")</f>
        <v>168945.6</v>
      </c>
      <c r="AN9">
        <f ca="1">IF($AF$4="*",SUMPRODUCT(((Liste_TypeOrdre="Reception")+(Liste_TypeOrdre="Inventaire"))*(Liste_ArticlesAchetesEtVendus=AI9)*Quantités)-SUMPRODUCT((Liste_TypeOrdre="Transfert")*(Liste_ArticlesAchetesEtVendus=AI9)*Quantités),SUMPRODUCT((Liste_AllantA=$AF$4)*(Liste_ArticlesAchetesEtVendus=AI9)*Quantités)-SUMPRODUCT((Liste_VenantDe=$AF$4)*(Liste_ArticlesAchetesEtVendus=AI9)*Quantités))</f>
        <v>2</v>
      </c>
    </row>
    <row r="10" spans="1:44" x14ac:dyDescent="0.25">
      <c r="A10">
        <v>12</v>
      </c>
      <c r="B10" t="s">
        <v>27</v>
      </c>
      <c r="C10" t="s">
        <v>33</v>
      </c>
      <c r="D10" t="s">
        <v>203</v>
      </c>
      <c r="E10">
        <v>1</v>
      </c>
      <c r="F10">
        <v>23.76</v>
      </c>
      <c r="G10">
        <v>23.76</v>
      </c>
      <c r="H10" t="s">
        <v>159</v>
      </c>
      <c r="I10" t="s">
        <v>201</v>
      </c>
      <c r="K10" t="s">
        <v>148</v>
      </c>
      <c r="L10" t="s">
        <v>255</v>
      </c>
      <c r="N10">
        <f>ROW()</f>
        <v>10</v>
      </c>
      <c r="AI10" t="s">
        <v>247</v>
      </c>
      <c r="AJ10" t="str">
        <f ca="1">IFERROR(INDEX(Data_Articles,MATCH(AI10,Nom_Articles,0),4),"")</f>
        <v>PEHD</v>
      </c>
      <c r="AK10" t="str">
        <f ca="1">IFERROR(INDEX(Data_Articles,MATCH(AI10,Nom_Articles,0),6),"")</f>
        <v>PEHD</v>
      </c>
      <c r="AL10" t="str">
        <f ca="1">IFERROR(INDEX(Data_Articles,MATCH(AI10,Nom_Articles,0),7),"")</f>
        <v>à vendre</v>
      </c>
      <c r="AM10">
        <f ca="1">IFERROR(INDEX(Data_Articles,MATCH(AI10,Nom_Articles,0),11),"")</f>
        <v>125992.8</v>
      </c>
      <c r="AN10">
        <f ca="1">IF($AF$4="*",SUMPRODUCT(((Liste_TypeOrdre="Reception")+(Liste_TypeOrdre="Inventaire"))*(Liste_ArticlesAchetesEtVendus=AI10)*Quantités)-SUMPRODUCT((Liste_TypeOrdre="Transfert")*(Liste_ArticlesAchetesEtVendus=AI10)*Quantités),SUMPRODUCT((Liste_AllantA=$AF$4)*(Liste_ArticlesAchetesEtVendus=AI10)*Quantités)-SUMPRODUCT((Liste_VenantDe=$AF$4)*(Liste_ArticlesAchetesEtVendus=AI10)*Quantités))</f>
        <v>-2</v>
      </c>
    </row>
    <row r="11" spans="1:44" x14ac:dyDescent="0.25">
      <c r="A11">
        <v>12</v>
      </c>
      <c r="B11" t="s">
        <v>27</v>
      </c>
      <c r="C11" t="s">
        <v>33</v>
      </c>
      <c r="D11" t="s">
        <v>205</v>
      </c>
      <c r="E11">
        <v>1</v>
      </c>
      <c r="F11">
        <v>21</v>
      </c>
      <c r="G11">
        <v>21</v>
      </c>
      <c r="H11" t="s">
        <v>159</v>
      </c>
      <c r="I11" t="s">
        <v>201</v>
      </c>
      <c r="K11" t="s">
        <v>148</v>
      </c>
      <c r="L11" t="s">
        <v>255</v>
      </c>
      <c r="N11">
        <f>ROW()</f>
        <v>11</v>
      </c>
      <c r="AI11" t="s">
        <v>209</v>
      </c>
      <c r="AJ11" t="str">
        <f ca="1">IFERROR(INDEX(Data_Articles,MATCH(AI11,Nom_Articles,0),4),"")</f>
        <v>F4523</v>
      </c>
      <c r="AK11" t="str">
        <f ca="1">IFERROR(INDEX(Data_Articles,MATCH(AI11,Nom_Articles,0),6),"")</f>
        <v>MP PEHD LB</v>
      </c>
      <c r="AL11" t="str">
        <f ca="1">IFERROR(INDEX(Data_Articles,MATCH(AI11,Nom_Articles,0),7),"")</f>
        <v>Melangeur</v>
      </c>
      <c r="AM11">
        <f ca="1">IFERROR(INDEX(Data_Articles,MATCH(AI11,Nom_Articles,0),11),"")</f>
        <v>0</v>
      </c>
      <c r="AN11">
        <f ca="1">IF($AF$4="*",SUMPRODUCT(((Liste_TypeOrdre="Reception")+(Liste_TypeOrdre="Inventaire"))*(Liste_ArticlesAchetesEtVendus=AI11)*Quantités)-SUMPRODUCT((Liste_TypeOrdre="Transfert")*(Liste_ArticlesAchetesEtVendus=AI11)*Quantités),SUMPRODUCT((Liste_AllantA=$AF$4)*(Liste_ArticlesAchetesEtVendus=AI11)*Quantités)-SUMPRODUCT((Liste_VenantDe=$AF$4)*(Liste_ArticlesAchetesEtVendus=AI11)*Quantités))</f>
        <v>1</v>
      </c>
    </row>
    <row r="12" spans="1:44" x14ac:dyDescent="0.25">
      <c r="A12">
        <v>12</v>
      </c>
      <c r="B12" t="s">
        <v>27</v>
      </c>
      <c r="C12" t="s">
        <v>33</v>
      </c>
      <c r="D12" t="s">
        <v>205</v>
      </c>
      <c r="E12">
        <v>1</v>
      </c>
      <c r="F12">
        <v>21</v>
      </c>
      <c r="G12">
        <v>21</v>
      </c>
      <c r="H12" t="s">
        <v>157</v>
      </c>
      <c r="I12" t="s">
        <v>201</v>
      </c>
      <c r="K12" t="s">
        <v>148</v>
      </c>
      <c r="L12" t="s">
        <v>255</v>
      </c>
      <c r="N12">
        <f>ROW()</f>
        <v>12</v>
      </c>
      <c r="AI12" s="134" t="s">
        <v>208</v>
      </c>
      <c r="AJ12" s="70" t="str">
        <f ca="1">IFERROR(INDEX(Data_Articles,MATCH(AI12,Nom_Articles,0),4),"")</f>
        <v>F4522</v>
      </c>
      <c r="AK12" s="70" t="str">
        <f ca="1">IFERROR(INDEX(Data_Articles,MATCH(AI12,Nom_Articles,0),6),"")</f>
        <v>MP PVC ASSAINISSEMENT</v>
      </c>
      <c r="AL12" s="70" t="str">
        <f ca="1">IFERROR(INDEX(Data_Articles,MATCH(AI12,Nom_Articles,0),7),"")</f>
        <v>Melangeur</v>
      </c>
      <c r="AM12" s="70">
        <f ca="1">IFERROR(INDEX(Data_Articles,MATCH(AI12,Nom_Articles,0),11),"")</f>
        <v>150</v>
      </c>
      <c r="AN12" s="70">
        <f ca="1">IF($AF$4="*",SUMPRODUCT(((Liste_TypeOrdre="Reception")+(Liste_TypeOrdre="Inventaire"))*(Liste_ArticlesAchetesEtVendus=AI12)*Quantités)-SUMPRODUCT((Liste_TypeOrdre="Transfert")*(Liste_ArticlesAchetesEtVendus=AI12)*Quantités),SUMPRODUCT((Liste_AllantA=$AF$4)*(Liste_ArticlesAchetesEtVendus=AI12)*Quantités)-SUMPRODUCT((Liste_VenantDe=$AF$4)*(Liste_ArticlesAchetesEtVendus=AI12)*Quantités))</f>
        <v>169</v>
      </c>
    </row>
    <row r="13" spans="1:44" x14ac:dyDescent="0.25">
      <c r="A13">
        <v>13</v>
      </c>
      <c r="B13" t="s">
        <v>28</v>
      </c>
      <c r="C13" t="s">
        <v>33</v>
      </c>
      <c r="D13" t="s">
        <v>250</v>
      </c>
      <c r="E13">
        <v>1</v>
      </c>
      <c r="F13">
        <v>275904</v>
      </c>
      <c r="G13">
        <v>275904</v>
      </c>
      <c r="H13" t="s">
        <v>201</v>
      </c>
      <c r="I13" t="s">
        <v>158</v>
      </c>
      <c r="K13" t="s">
        <v>147</v>
      </c>
      <c r="L13" t="s">
        <v>154</v>
      </c>
      <c r="N13">
        <f>ROW()</f>
        <v>13</v>
      </c>
      <c r="AI13" t="s">
        <v>248</v>
      </c>
      <c r="AJ13" t="str">
        <f ca="1">IFERROR(INDEX(Data_Articles,MATCH(AI13,Nom_Articles,0),4),"")</f>
        <v>PVC</v>
      </c>
      <c r="AK13" t="str">
        <f ca="1">IFERROR(INDEX(Data_Articles,MATCH(AI13,Nom_Articles,0),6),"")</f>
        <v>PVC</v>
      </c>
      <c r="AL13" t="str">
        <f ca="1">IFERROR(INDEX(Data_Articles,MATCH(AI13,Nom_Articles,0),7),"")</f>
        <v>à vendre</v>
      </c>
      <c r="AM13">
        <f ca="1">IFERROR(INDEX(Data_Articles,MATCH(AI13,Nom_Articles,0),11),"")</f>
        <v>540</v>
      </c>
      <c r="AN13">
        <f ca="1">IF($AF$4="*",SUMPRODUCT(((Liste_TypeOrdre="Reception")+(Liste_TypeOrdre="Inventaire"))*(Liste_ArticlesAchetesEtVendus=AI13)*Quantités)-SUMPRODUCT((Liste_TypeOrdre="Transfert")*(Liste_ArticlesAchetesEtVendus=AI13)*Quantités),SUMPRODUCT((Liste_AllantA=$AF$4)*(Liste_ArticlesAchetesEtVendus=AI13)*Quantités)-SUMPRODUCT((Liste_VenantDe=$AF$4)*(Liste_ArticlesAchetesEtVendus=AI13)*Quantités))</f>
        <v>-19</v>
      </c>
    </row>
    <row r="14" spans="1:44" x14ac:dyDescent="0.25">
      <c r="A14">
        <v>14</v>
      </c>
      <c r="B14" t="s">
        <v>27</v>
      </c>
      <c r="C14" t="s">
        <v>33</v>
      </c>
      <c r="D14" t="s">
        <v>248</v>
      </c>
      <c r="E14">
        <v>1</v>
      </c>
      <c r="F14">
        <v>540</v>
      </c>
      <c r="G14">
        <v>540</v>
      </c>
      <c r="H14" t="s">
        <v>201</v>
      </c>
      <c r="I14" t="s">
        <v>158</v>
      </c>
      <c r="K14" t="s">
        <v>143</v>
      </c>
      <c r="L14" t="s">
        <v>154</v>
      </c>
      <c r="N14">
        <f>ROW()</f>
        <v>14</v>
      </c>
      <c r="AI14" t="s">
        <v>250</v>
      </c>
      <c r="AJ14" s="70" t="str">
        <f ca="1">IFERROR(INDEX(Data_Articles,MATCH(AI14,Nom_Articles,0),4),"")</f>
        <v>PVC</v>
      </c>
      <c r="AK14" s="70" t="str">
        <f ca="1">IFERROR(INDEX(Data_Articles,MATCH(AI14,Nom_Articles,0),6),"")</f>
        <v>PVC</v>
      </c>
      <c r="AL14" s="70" t="str">
        <f ca="1">IFERROR(INDEX(Data_Articles,MATCH(AI14,Nom_Articles,0),7),"")</f>
        <v>à vendre</v>
      </c>
      <c r="AM14" s="70">
        <f ca="1">IFERROR(INDEX(Data_Articles,MATCH(AI14,Nom_Articles,0),11),"")</f>
        <v>275904</v>
      </c>
      <c r="AN14" s="70">
        <f ca="1">IF($AF$4="*",SUMPRODUCT(((Liste_TypeOrdre="Reception")+(Liste_TypeOrdre="Inventaire"))*(Liste_ArticlesAchetesEtVendus=AI14)*Quantités)-SUMPRODUCT((Liste_TypeOrdre="Transfert")*(Liste_ArticlesAchetesEtVendus=AI14)*Quantités),SUMPRODUCT((Liste_AllantA=$AF$4)*(Liste_ArticlesAchetesEtVendus=AI14)*Quantités)-SUMPRODUCT((Liste_VenantDe=$AF$4)*(Liste_ArticlesAchetesEtVendus=AI14)*Quantités))</f>
        <v>-1</v>
      </c>
    </row>
    <row r="15" spans="1:44" x14ac:dyDescent="0.25">
      <c r="A15">
        <v>15</v>
      </c>
      <c r="B15" t="s">
        <v>27</v>
      </c>
      <c r="C15" t="s">
        <v>33</v>
      </c>
      <c r="D15" t="s">
        <v>203</v>
      </c>
      <c r="E15">
        <v>1</v>
      </c>
      <c r="F15">
        <v>23.76</v>
      </c>
      <c r="G15">
        <v>23.76</v>
      </c>
      <c r="H15" t="s">
        <v>158</v>
      </c>
      <c r="I15" t="s">
        <v>159</v>
      </c>
      <c r="K15" t="s">
        <v>148</v>
      </c>
      <c r="L15" t="s">
        <v>153</v>
      </c>
      <c r="N15">
        <f>ROW()</f>
        <v>15</v>
      </c>
      <c r="AH15" s="70"/>
      <c r="AI15" t="s">
        <v>202</v>
      </c>
      <c r="AJ15" t="str">
        <f ca="1">IFERROR(INDEX(Data_Articles,MATCH(AI15,Nom_Articles,0),4),"")</f>
        <v>F4516</v>
      </c>
      <c r="AK15" t="str">
        <f ca="1">IFERROR(INDEX(Data_Articles,MATCH(AI15,Nom_Articles,0),6),"")</f>
        <v>MP PVC PRESSION</v>
      </c>
      <c r="AL15" t="str">
        <f ca="1">IFERROR(INDEX(Data_Articles,MATCH(AI15,Nom_Articles,0),7),"")</f>
        <v>Melangeur</v>
      </c>
      <c r="AM15">
        <f ca="1">IFERROR(INDEX(Data_Articles,MATCH(AI15,Nom_Articles,0),11),"")</f>
        <v>23.76</v>
      </c>
      <c r="AN15">
        <f ca="1">IF($AF$4="*",SUMPRODUCT(((Liste_TypeOrdre="Reception")+(Liste_TypeOrdre="Inventaire"))*(Liste_ArticlesAchetesEtVendus=AI15)*Quantités)-SUMPRODUCT((Liste_TypeOrdre="Transfert")*(Liste_ArticlesAchetesEtVendus=AI15)*Quantités),SUMPRODUCT((Liste_AllantA=$AF$4)*(Liste_ArticlesAchetesEtVendus=AI15)*Quantités)-SUMPRODUCT((Liste_VenantDe=$AF$4)*(Liste_ArticlesAchetesEtVendus=AI15)*Quantités))</f>
        <v>-15</v>
      </c>
    </row>
    <row r="16" spans="1:44" s="70" customFormat="1" x14ac:dyDescent="0.25">
      <c r="A16" s="133">
        <v>16</v>
      </c>
      <c r="B16" s="133" t="s">
        <v>27</v>
      </c>
      <c r="C16" s="133" t="s">
        <v>29</v>
      </c>
      <c r="D16" s="133" t="s">
        <v>216</v>
      </c>
      <c r="E16" s="133">
        <v>27521</v>
      </c>
      <c r="F16" s="133">
        <v>13.2</v>
      </c>
      <c r="G16" s="133">
        <v>363277.19999999995</v>
      </c>
      <c r="H16" s="133" t="s">
        <v>167</v>
      </c>
      <c r="I16" s="133" t="s">
        <v>159</v>
      </c>
      <c r="J16" s="133"/>
      <c r="K16" s="133" t="s">
        <v>148</v>
      </c>
      <c r="L16" s="133" t="s">
        <v>153</v>
      </c>
      <c r="M16" s="133"/>
      <c r="N16" s="133">
        <f>ROW()</f>
        <v>16</v>
      </c>
      <c r="AI16" s="133" t="s">
        <v>216</v>
      </c>
      <c r="AJ16" t="str">
        <f ca="1">IFERROR(INDEX(Data_Articles,MATCH(AI16,Nom_Articles,0),4),"")</f>
        <v>1D519</v>
      </c>
      <c r="AK16" t="str">
        <f ca="1">IFERROR(INDEX(Data_Articles,MATCH(AI16,Nom_Articles,0),6),"")</f>
        <v>MP PEHD LB</v>
      </c>
      <c r="AL16" t="str">
        <f ca="1">IFERROR(INDEX(Data_Articles,MATCH(AI16,Nom_Articles,0),7),"")</f>
        <v>Melangeur</v>
      </c>
      <c r="AM16">
        <f ca="1">IFERROR(INDEX(Data_Articles,MATCH(AI16,Nom_Articles,0),11),"")</f>
        <v>13.2</v>
      </c>
      <c r="AN16">
        <f ca="1">IF($AF$4="*",SUMPRODUCT(((Liste_TypeOrdre="Reception")+(Liste_TypeOrdre="Inventaire"))*(Liste_ArticlesAchetesEtVendus=AI16)*Quantités)-SUMPRODUCT((Liste_TypeOrdre="Transfert")*(Liste_ArticlesAchetesEtVendus=AI16)*Quantités),SUMPRODUCT((Liste_AllantA=$AF$4)*(Liste_ArticlesAchetesEtVendus=AI16)*Quantités)-SUMPRODUCT((Liste_VenantDe=$AF$4)*(Liste_ArticlesAchetesEtVendus=AI16)*Quantités))</f>
        <v>-27644</v>
      </c>
    </row>
    <row r="17" spans="1:40" s="70" customFormat="1" x14ac:dyDescent="0.25">
      <c r="A17" s="133">
        <v>16</v>
      </c>
      <c r="B17" s="133" t="s">
        <v>27</v>
      </c>
      <c r="C17" s="133" t="s">
        <v>29</v>
      </c>
      <c r="D17" s="133" t="s">
        <v>217</v>
      </c>
      <c r="E17" s="133">
        <v>490</v>
      </c>
      <c r="F17" s="133">
        <v>12</v>
      </c>
      <c r="G17" s="133">
        <v>5880</v>
      </c>
      <c r="H17" s="133" t="s">
        <v>167</v>
      </c>
      <c r="I17" s="133" t="s">
        <v>159</v>
      </c>
      <c r="J17" s="133"/>
      <c r="K17" s="133" t="s">
        <v>148</v>
      </c>
      <c r="L17" s="133" t="s">
        <v>153</v>
      </c>
      <c r="M17" s="133"/>
      <c r="N17" s="133">
        <f>ROW()</f>
        <v>17</v>
      </c>
      <c r="AI17" s="134" t="s">
        <v>224</v>
      </c>
      <c r="AJ17" s="70" t="str">
        <f ca="1">IFERROR(INDEX(Data_Articles,MATCH(AI17,Nom_Articles,0),4),"")</f>
        <v>ST345</v>
      </c>
      <c r="AK17" s="70" t="str">
        <f ca="1">IFERROR(INDEX(Data_Articles,MATCH(AI17,Nom_Articles,0),6),"")</f>
        <v>MP PVC PRESSION</v>
      </c>
      <c r="AL17" s="70" t="str">
        <f ca="1">IFERROR(INDEX(Data_Articles,MATCH(AI17,Nom_Articles,0),7),"")</f>
        <v>Melangeur</v>
      </c>
      <c r="AM17" s="70">
        <f ca="1">IFERROR(INDEX(Data_Articles,MATCH(AI17,Nom_Articles,0),11),"")</f>
        <v>19.2</v>
      </c>
      <c r="AN17" s="70">
        <f ca="1">IF($AF$4="*",SUMPRODUCT(((Liste_TypeOrdre="Reception")+(Liste_TypeOrdre="Inventaire"))*(Liste_ArticlesAchetesEtVendus=AI17)*Quantités)-SUMPRODUCT((Liste_TypeOrdre="Transfert")*(Liste_ArticlesAchetesEtVendus=AI17)*Quantités),SUMPRODUCT((Liste_AllantA=$AF$4)*(Liste_ArticlesAchetesEtVendus=AI17)*Quantités)-SUMPRODUCT((Liste_VenantDe=$AF$4)*(Liste_ArticlesAchetesEtVendus=AI17)*Quantités))</f>
        <v>650</v>
      </c>
    </row>
    <row r="18" spans="1:40" s="70" customFormat="1" x14ac:dyDescent="0.25">
      <c r="A18" s="133">
        <v>16</v>
      </c>
      <c r="B18" s="133" t="s">
        <v>27</v>
      </c>
      <c r="C18" s="133" t="s">
        <v>29</v>
      </c>
      <c r="D18" s="133" t="s">
        <v>205</v>
      </c>
      <c r="E18" s="133">
        <v>62225</v>
      </c>
      <c r="F18" s="133">
        <v>6.6</v>
      </c>
      <c r="G18" s="133">
        <v>410685</v>
      </c>
      <c r="H18" s="133" t="s">
        <v>167</v>
      </c>
      <c r="I18" s="133" t="s">
        <v>159</v>
      </c>
      <c r="J18" s="133"/>
      <c r="K18" s="133" t="s">
        <v>148</v>
      </c>
      <c r="L18" s="133" t="s">
        <v>153</v>
      </c>
      <c r="M18" s="133"/>
      <c r="N18" s="133">
        <f>ROW()</f>
        <v>18</v>
      </c>
      <c r="AI18" s="133" t="s">
        <v>207</v>
      </c>
      <c r="AJ18" t="str">
        <f ca="1">IFERROR(INDEX(Data_Articles,MATCH(AI18,Nom_Articles,0),4),"")</f>
        <v>F4521</v>
      </c>
      <c r="AK18" t="str">
        <f ca="1">IFERROR(INDEX(Data_Articles,MATCH(AI18,Nom_Articles,0),6),"")</f>
        <v>MP PVC ASSAINISSEMENT</v>
      </c>
      <c r="AL18" t="str">
        <f ca="1">IFERROR(INDEX(Data_Articles,MATCH(AI18,Nom_Articles,0),7),"")</f>
        <v>Melangeur</v>
      </c>
      <c r="AM18">
        <f ca="1">IFERROR(INDEX(Data_Articles,MATCH(AI18,Nom_Articles,0),11),"")</f>
        <v>95.58</v>
      </c>
      <c r="AN18">
        <f ca="1">IF($AF$4="*",SUMPRODUCT(((Liste_TypeOrdre="Reception")+(Liste_TypeOrdre="Inventaire"))*(Liste_ArticlesAchetesEtVendus=AI18)*Quantités)-SUMPRODUCT((Liste_TypeOrdre="Transfert")*(Liste_ArticlesAchetesEtVendus=AI18)*Quantités),SUMPRODUCT((Liste_AllantA=$AF$4)*(Liste_ArticlesAchetesEtVendus=AI18)*Quantités)-SUMPRODUCT((Liste_VenantDe=$AF$4)*(Liste_ArticlesAchetesEtVendus=AI18)*Quantités))</f>
        <v>-165</v>
      </c>
    </row>
    <row r="19" spans="1:40" s="70" customFormat="1" x14ac:dyDescent="0.25">
      <c r="A19" s="133">
        <v>16</v>
      </c>
      <c r="B19" s="133" t="s">
        <v>27</v>
      </c>
      <c r="C19" s="133" t="s">
        <v>29</v>
      </c>
      <c r="D19" s="133" t="s">
        <v>207</v>
      </c>
      <c r="E19" s="133">
        <v>165</v>
      </c>
      <c r="F19" s="133">
        <v>95.58</v>
      </c>
      <c r="G19" s="133">
        <v>15770.699999999999</v>
      </c>
      <c r="H19" s="133" t="s">
        <v>167</v>
      </c>
      <c r="I19" s="133" t="s">
        <v>159</v>
      </c>
      <c r="J19" s="133"/>
      <c r="K19" s="133" t="s">
        <v>148</v>
      </c>
      <c r="L19" s="133" t="s">
        <v>153</v>
      </c>
      <c r="M19" s="133"/>
      <c r="N19" s="133">
        <f>ROW()</f>
        <v>19</v>
      </c>
    </row>
    <row r="20" spans="1:40" s="70" customFormat="1" x14ac:dyDescent="0.25">
      <c r="A20" s="134">
        <v>17</v>
      </c>
      <c r="B20" s="134" t="s">
        <v>28</v>
      </c>
      <c r="C20" s="134" t="s">
        <v>33</v>
      </c>
      <c r="D20" s="134" t="s">
        <v>208</v>
      </c>
      <c r="E20" s="134">
        <v>345</v>
      </c>
      <c r="F20" s="134">
        <v>150</v>
      </c>
      <c r="G20" s="134">
        <v>51750</v>
      </c>
      <c r="H20" s="134" t="s">
        <v>159</v>
      </c>
      <c r="I20" s="134" t="s">
        <v>201</v>
      </c>
      <c r="J20" s="134"/>
      <c r="K20" s="134" t="s">
        <v>148</v>
      </c>
      <c r="L20" s="134" t="s">
        <v>154</v>
      </c>
      <c r="M20" s="134"/>
      <c r="N20" s="134">
        <f>ROW()</f>
        <v>20</v>
      </c>
    </row>
    <row r="21" spans="1:40" s="70" customFormat="1" x14ac:dyDescent="0.25">
      <c r="A21" s="134">
        <v>17</v>
      </c>
      <c r="B21" s="134" t="s">
        <v>28</v>
      </c>
      <c r="C21" s="134" t="s">
        <v>33</v>
      </c>
      <c r="D21" s="134" t="s">
        <v>224</v>
      </c>
      <c r="E21" s="134">
        <v>650</v>
      </c>
      <c r="F21" s="134">
        <v>19.2</v>
      </c>
      <c r="G21" s="134">
        <v>12480</v>
      </c>
      <c r="H21" s="134" t="s">
        <v>159</v>
      </c>
      <c r="I21" s="134" t="s">
        <v>201</v>
      </c>
      <c r="J21" s="134"/>
      <c r="K21" s="134" t="s">
        <v>148</v>
      </c>
      <c r="L21" s="134" t="s">
        <v>154</v>
      </c>
      <c r="M21" s="134"/>
      <c r="N21" s="134">
        <f>ROW()</f>
        <v>21</v>
      </c>
    </row>
    <row r="22" spans="1:40" s="70" customFormat="1" x14ac:dyDescent="0.25">
      <c r="A22" s="134">
        <v>17</v>
      </c>
      <c r="B22" s="134" t="s">
        <v>28</v>
      </c>
      <c r="C22" s="134" t="s">
        <v>33</v>
      </c>
      <c r="D22" s="134" t="s">
        <v>248</v>
      </c>
      <c r="E22" s="134">
        <v>20</v>
      </c>
      <c r="F22" s="134">
        <v>540</v>
      </c>
      <c r="G22" s="134">
        <v>10800</v>
      </c>
      <c r="H22" s="134" t="s">
        <v>201</v>
      </c>
      <c r="I22" s="134" t="s">
        <v>158</v>
      </c>
      <c r="J22" s="134"/>
      <c r="K22" s="134" t="s">
        <v>148</v>
      </c>
      <c r="L22" s="134" t="s">
        <v>154</v>
      </c>
      <c r="M22" s="134"/>
      <c r="N22" s="134">
        <f>ROW()</f>
        <v>22</v>
      </c>
    </row>
    <row r="23" spans="1:40" s="70" customFormat="1" x14ac:dyDescent="0.25">
      <c r="A23" s="134">
        <v>17</v>
      </c>
      <c r="B23" s="134" t="s">
        <v>28</v>
      </c>
      <c r="C23" s="134" t="s">
        <v>33</v>
      </c>
      <c r="D23" s="134" t="s">
        <v>246</v>
      </c>
      <c r="E23" s="134">
        <v>1</v>
      </c>
      <c r="F23" s="134">
        <v>168945.6</v>
      </c>
      <c r="G23" s="134">
        <v>168945.6</v>
      </c>
      <c r="H23" s="134" t="s">
        <v>201</v>
      </c>
      <c r="I23" s="134" t="s">
        <v>158</v>
      </c>
      <c r="J23" s="134"/>
      <c r="K23" s="134" t="s">
        <v>148</v>
      </c>
      <c r="L23" s="134" t="s">
        <v>154</v>
      </c>
      <c r="M23" s="134"/>
      <c r="N23" s="134">
        <f>ROW()</f>
        <v>23</v>
      </c>
    </row>
    <row r="24" spans="1:40" s="70" customFormat="1" x14ac:dyDescent="0.25">
      <c r="A24" s="134">
        <v>17</v>
      </c>
      <c r="B24" s="134" t="s">
        <v>28</v>
      </c>
      <c r="C24" s="134" t="s">
        <v>33</v>
      </c>
      <c r="D24" s="134" t="s">
        <v>208</v>
      </c>
      <c r="E24" s="134">
        <v>189</v>
      </c>
      <c r="F24" s="134">
        <v>150</v>
      </c>
      <c r="G24" s="134">
        <v>28350</v>
      </c>
      <c r="H24" s="134" t="s">
        <v>201</v>
      </c>
      <c r="I24" s="134" t="s">
        <v>158</v>
      </c>
      <c r="J24" s="134"/>
      <c r="K24" s="134" t="s">
        <v>148</v>
      </c>
      <c r="L24" s="134" t="s">
        <v>154</v>
      </c>
      <c r="M24" s="134"/>
      <c r="N24" s="134">
        <f>ROW()</f>
        <v>24</v>
      </c>
    </row>
    <row r="25" spans="1:40" x14ac:dyDescent="0.25">
      <c r="A25">
        <v>18</v>
      </c>
      <c r="B25" t="s">
        <v>27</v>
      </c>
      <c r="C25" t="s">
        <v>29</v>
      </c>
      <c r="D25" t="s">
        <v>216</v>
      </c>
      <c r="E25">
        <v>123</v>
      </c>
      <c r="F25">
        <v>13.2</v>
      </c>
      <c r="G25">
        <v>1623.6</v>
      </c>
      <c r="H25" t="s">
        <v>167</v>
      </c>
      <c r="I25" t="s">
        <v>159</v>
      </c>
      <c r="K25" t="s">
        <v>143</v>
      </c>
      <c r="L25" t="s">
        <v>154</v>
      </c>
      <c r="N25">
        <f>ROW()</f>
        <v>25</v>
      </c>
    </row>
    <row r="26" spans="1:40" x14ac:dyDescent="0.25">
      <c r="A26">
        <v>19</v>
      </c>
      <c r="B26" t="s">
        <v>28</v>
      </c>
      <c r="C26" t="s">
        <v>33</v>
      </c>
      <c r="D26" t="s">
        <v>247</v>
      </c>
      <c r="E26">
        <v>1</v>
      </c>
      <c r="F26">
        <v>125992.8</v>
      </c>
      <c r="G26">
        <v>125992.8</v>
      </c>
      <c r="H26" t="s">
        <v>158</v>
      </c>
      <c r="I26" t="s">
        <v>186</v>
      </c>
      <c r="K26" t="s">
        <v>143</v>
      </c>
      <c r="L26" t="s">
        <v>153</v>
      </c>
      <c r="N26">
        <f>ROW()</f>
        <v>26</v>
      </c>
    </row>
    <row r="27" spans="1:40" x14ac:dyDescent="0.25">
      <c r="A27">
        <v>5</v>
      </c>
      <c r="B27" t="s">
        <v>282</v>
      </c>
      <c r="D27" t="s">
        <v>242</v>
      </c>
      <c r="E27">
        <v>-10</v>
      </c>
      <c r="I27" t="s">
        <v>159</v>
      </c>
      <c r="N27">
        <f>ROW()</f>
        <v>27</v>
      </c>
    </row>
    <row r="28" spans="1:40" x14ac:dyDescent="0.25">
      <c r="A28">
        <v>5</v>
      </c>
      <c r="B28" t="s">
        <v>282</v>
      </c>
      <c r="D28" t="s">
        <v>217</v>
      </c>
      <c r="E28">
        <v>-490</v>
      </c>
      <c r="F28">
        <v>0</v>
      </c>
      <c r="I28" t="s">
        <v>159</v>
      </c>
      <c r="N28">
        <f>ROW()</f>
        <v>28</v>
      </c>
    </row>
    <row r="29" spans="1:40" x14ac:dyDescent="0.25">
      <c r="A29">
        <v>5</v>
      </c>
      <c r="B29" t="s">
        <v>282</v>
      </c>
      <c r="D29" t="s">
        <v>203</v>
      </c>
      <c r="E29">
        <v>1</v>
      </c>
      <c r="F29">
        <v>23.76</v>
      </c>
      <c r="I29" t="s">
        <v>159</v>
      </c>
      <c r="N29">
        <f>ROW()</f>
        <v>29</v>
      </c>
    </row>
    <row r="30" spans="1:40" x14ac:dyDescent="0.25">
      <c r="A30">
        <v>5</v>
      </c>
      <c r="B30" t="s">
        <v>282</v>
      </c>
      <c r="D30" t="s">
        <v>221</v>
      </c>
      <c r="E30">
        <v>34</v>
      </c>
      <c r="F30">
        <v>12</v>
      </c>
      <c r="I30" t="s">
        <v>159</v>
      </c>
      <c r="N30">
        <f>ROW()</f>
        <v>30</v>
      </c>
    </row>
    <row r="31" spans="1:40" x14ac:dyDescent="0.25">
      <c r="A31">
        <v>5</v>
      </c>
      <c r="B31" t="s">
        <v>282</v>
      </c>
      <c r="D31" t="s">
        <v>205</v>
      </c>
      <c r="E31">
        <v>-62156</v>
      </c>
      <c r="F31">
        <v>21</v>
      </c>
      <c r="G31">
        <v>-1305276</v>
      </c>
      <c r="I31" t="s">
        <v>159</v>
      </c>
      <c r="N31">
        <f>ROW()</f>
        <v>31</v>
      </c>
    </row>
    <row r="32" spans="1:40" x14ac:dyDescent="0.25">
      <c r="A32">
        <v>5</v>
      </c>
      <c r="B32" t="s">
        <v>282</v>
      </c>
      <c r="D32" t="s">
        <v>209</v>
      </c>
      <c r="E32">
        <v>1</v>
      </c>
      <c r="F32">
        <v>0</v>
      </c>
      <c r="I32" t="s">
        <v>159</v>
      </c>
      <c r="N32">
        <f>ROW()</f>
        <v>32</v>
      </c>
    </row>
    <row r="33" spans="1:14" x14ac:dyDescent="0.25">
      <c r="A33">
        <v>5</v>
      </c>
      <c r="B33" t="s">
        <v>282</v>
      </c>
      <c r="D33" t="s">
        <v>208</v>
      </c>
      <c r="E33">
        <v>345</v>
      </c>
      <c r="F33">
        <v>150</v>
      </c>
      <c r="I33" t="s">
        <v>159</v>
      </c>
      <c r="N33">
        <f>ROW()</f>
        <v>33</v>
      </c>
    </row>
    <row r="34" spans="1:14" x14ac:dyDescent="0.25">
      <c r="A34">
        <v>5</v>
      </c>
      <c r="B34" t="s">
        <v>282</v>
      </c>
      <c r="D34" t="s">
        <v>202</v>
      </c>
      <c r="E34">
        <v>-15</v>
      </c>
      <c r="F34">
        <v>23.76</v>
      </c>
      <c r="I34" t="s">
        <v>159</v>
      </c>
      <c r="N34">
        <f>ROW()</f>
        <v>34</v>
      </c>
    </row>
    <row r="35" spans="1:14" x14ac:dyDescent="0.25">
      <c r="A35">
        <v>5</v>
      </c>
      <c r="B35" t="s">
        <v>282</v>
      </c>
      <c r="D35" t="s">
        <v>216</v>
      </c>
      <c r="E35">
        <v>-27644</v>
      </c>
      <c r="F35">
        <v>13.2</v>
      </c>
      <c r="I35" t="s">
        <v>159</v>
      </c>
      <c r="N35">
        <f>ROW()</f>
        <v>35</v>
      </c>
    </row>
    <row r="36" spans="1:14" x14ac:dyDescent="0.25">
      <c r="A36">
        <v>5</v>
      </c>
      <c r="B36" t="s">
        <v>282</v>
      </c>
      <c r="D36" t="s">
        <v>224</v>
      </c>
      <c r="E36">
        <v>650</v>
      </c>
      <c r="F36">
        <v>19.2</v>
      </c>
      <c r="I36" t="s">
        <v>159</v>
      </c>
      <c r="N36">
        <f>ROW()</f>
        <v>36</v>
      </c>
    </row>
    <row r="37" spans="1:14" x14ac:dyDescent="0.25">
      <c r="A37">
        <v>5</v>
      </c>
      <c r="B37" t="s">
        <v>282</v>
      </c>
      <c r="D37" t="s">
        <v>207</v>
      </c>
      <c r="E37">
        <v>-165</v>
      </c>
      <c r="F37">
        <v>95.58</v>
      </c>
      <c r="I37" t="s">
        <v>159</v>
      </c>
      <c r="N37">
        <f>ROW()</f>
        <v>37</v>
      </c>
    </row>
    <row r="38" spans="1:14" x14ac:dyDescent="0.25">
      <c r="A38">
        <v>6</v>
      </c>
      <c r="B38" t="s">
        <v>282</v>
      </c>
      <c r="D38" t="s">
        <v>242</v>
      </c>
      <c r="E38">
        <v>-10</v>
      </c>
      <c r="I38" t="s">
        <v>159</v>
      </c>
      <c r="N38">
        <f>ROW()</f>
        <v>38</v>
      </c>
    </row>
    <row r="39" spans="1:14" x14ac:dyDescent="0.25">
      <c r="A39">
        <v>6</v>
      </c>
      <c r="B39" t="s">
        <v>282</v>
      </c>
      <c r="D39" t="s">
        <v>217</v>
      </c>
      <c r="E39">
        <v>-490</v>
      </c>
      <c r="F39">
        <v>0</v>
      </c>
      <c r="I39" t="s">
        <v>159</v>
      </c>
      <c r="N39">
        <f>ROW()</f>
        <v>39</v>
      </c>
    </row>
    <row r="40" spans="1:14" x14ac:dyDescent="0.25">
      <c r="A40">
        <v>6</v>
      </c>
      <c r="B40" t="s">
        <v>282</v>
      </c>
      <c r="D40" t="s">
        <v>203</v>
      </c>
      <c r="E40">
        <v>1</v>
      </c>
      <c r="F40">
        <v>23.76</v>
      </c>
      <c r="I40" t="s">
        <v>159</v>
      </c>
      <c r="N40">
        <f>ROW()</f>
        <v>40</v>
      </c>
    </row>
    <row r="41" spans="1:14" x14ac:dyDescent="0.25">
      <c r="A41">
        <v>6</v>
      </c>
      <c r="B41" t="s">
        <v>282</v>
      </c>
      <c r="D41" t="s">
        <v>221</v>
      </c>
      <c r="E41">
        <v>34</v>
      </c>
      <c r="F41">
        <v>12</v>
      </c>
      <c r="I41" t="s">
        <v>159</v>
      </c>
      <c r="N41">
        <f>ROW()</f>
        <v>41</v>
      </c>
    </row>
    <row r="42" spans="1:14" x14ac:dyDescent="0.25">
      <c r="A42">
        <v>6</v>
      </c>
      <c r="B42" t="s">
        <v>282</v>
      </c>
      <c r="D42" t="s">
        <v>205</v>
      </c>
      <c r="E42">
        <v>-62156</v>
      </c>
      <c r="F42">
        <v>21</v>
      </c>
      <c r="G42">
        <v>-1305276</v>
      </c>
      <c r="I42" t="s">
        <v>159</v>
      </c>
      <c r="N42">
        <f>ROW()</f>
        <v>42</v>
      </c>
    </row>
    <row r="43" spans="1:14" x14ac:dyDescent="0.25">
      <c r="A43">
        <v>6</v>
      </c>
      <c r="B43" t="s">
        <v>282</v>
      </c>
      <c r="D43" t="s">
        <v>209</v>
      </c>
      <c r="E43">
        <v>1</v>
      </c>
      <c r="F43">
        <v>0</v>
      </c>
      <c r="I43" t="s">
        <v>159</v>
      </c>
      <c r="N43">
        <f>ROW()</f>
        <v>43</v>
      </c>
    </row>
    <row r="44" spans="1:14" x14ac:dyDescent="0.25">
      <c r="A44">
        <v>6</v>
      </c>
      <c r="B44" t="s">
        <v>282</v>
      </c>
      <c r="D44" t="s">
        <v>208</v>
      </c>
      <c r="E44">
        <v>358</v>
      </c>
      <c r="F44">
        <v>150</v>
      </c>
      <c r="G44">
        <v>53700</v>
      </c>
      <c r="I44" t="s">
        <v>159</v>
      </c>
      <c r="N44">
        <f>ROW()</f>
        <v>44</v>
      </c>
    </row>
    <row r="45" spans="1:14" x14ac:dyDescent="0.25">
      <c r="A45">
        <v>6</v>
      </c>
      <c r="B45" t="s">
        <v>282</v>
      </c>
      <c r="D45" t="s">
        <v>202</v>
      </c>
      <c r="E45">
        <v>-15</v>
      </c>
      <c r="F45">
        <v>23.76</v>
      </c>
      <c r="I45" t="s">
        <v>159</v>
      </c>
      <c r="N45">
        <f>ROW()</f>
        <v>45</v>
      </c>
    </row>
    <row r="46" spans="1:14" x14ac:dyDescent="0.25">
      <c r="A46">
        <v>6</v>
      </c>
      <c r="B46" t="s">
        <v>282</v>
      </c>
      <c r="D46" t="s">
        <v>216</v>
      </c>
      <c r="E46">
        <v>-27644</v>
      </c>
      <c r="F46">
        <v>13.2</v>
      </c>
      <c r="I46" t="s">
        <v>159</v>
      </c>
      <c r="N46">
        <f>ROW()</f>
        <v>46</v>
      </c>
    </row>
    <row r="47" spans="1:14" x14ac:dyDescent="0.25">
      <c r="A47">
        <v>6</v>
      </c>
      <c r="B47" t="s">
        <v>282</v>
      </c>
      <c r="D47" t="s">
        <v>224</v>
      </c>
      <c r="E47">
        <v>650</v>
      </c>
      <c r="F47">
        <v>19.2</v>
      </c>
      <c r="I47" t="s">
        <v>159</v>
      </c>
      <c r="N47">
        <f>ROW()</f>
        <v>47</v>
      </c>
    </row>
    <row r="48" spans="1:14" x14ac:dyDescent="0.25">
      <c r="A48">
        <v>6</v>
      </c>
      <c r="B48" t="s">
        <v>282</v>
      </c>
      <c r="D48" t="s">
        <v>207</v>
      </c>
      <c r="E48">
        <v>-165</v>
      </c>
      <c r="F48">
        <v>95.58</v>
      </c>
      <c r="I48" t="s">
        <v>159</v>
      </c>
      <c r="N48">
        <f>ROW()</f>
        <v>48</v>
      </c>
    </row>
    <row r="49" spans="1:14" x14ac:dyDescent="0.25">
      <c r="A49">
        <v>7</v>
      </c>
      <c r="B49" t="s">
        <v>282</v>
      </c>
      <c r="D49" t="s">
        <v>203</v>
      </c>
      <c r="E49">
        <v>-2</v>
      </c>
      <c r="F49">
        <v>23.76</v>
      </c>
      <c r="I49" t="s">
        <v>201</v>
      </c>
      <c r="N49">
        <f>ROW()</f>
        <v>49</v>
      </c>
    </row>
    <row r="50" spans="1:14" x14ac:dyDescent="0.25">
      <c r="A50">
        <v>7</v>
      </c>
      <c r="B50" t="s">
        <v>282</v>
      </c>
      <c r="D50" t="s">
        <v>221</v>
      </c>
      <c r="E50">
        <v>-34</v>
      </c>
      <c r="F50">
        <v>12</v>
      </c>
      <c r="I50" t="s">
        <v>201</v>
      </c>
      <c r="N50">
        <f>ROW()</f>
        <v>50</v>
      </c>
    </row>
    <row r="51" spans="1:14" x14ac:dyDescent="0.25">
      <c r="A51">
        <v>7</v>
      </c>
      <c r="B51" t="s">
        <v>282</v>
      </c>
      <c r="D51" t="s">
        <v>205</v>
      </c>
      <c r="E51">
        <v>-2</v>
      </c>
      <c r="F51">
        <v>21</v>
      </c>
      <c r="I51" t="s">
        <v>201</v>
      </c>
      <c r="N51">
        <f>ROW()</f>
        <v>51</v>
      </c>
    </row>
    <row r="52" spans="1:14" x14ac:dyDescent="0.25">
      <c r="A52">
        <v>7</v>
      </c>
      <c r="B52" t="s">
        <v>282</v>
      </c>
      <c r="D52" t="s">
        <v>246</v>
      </c>
      <c r="E52">
        <v>3</v>
      </c>
      <c r="F52">
        <v>168945.6</v>
      </c>
      <c r="G52">
        <v>506836.80000000005</v>
      </c>
      <c r="I52" t="s">
        <v>201</v>
      </c>
      <c r="N52">
        <f>ROW()</f>
        <v>52</v>
      </c>
    </row>
  </sheetData>
  <sortState ref="AI4:AN18">
    <sortCondition ref="AI4"/>
  </sortState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4" tint="-0.249977111117893"/>
  </sheetPr>
  <dimension ref="A2:Y20"/>
  <sheetViews>
    <sheetView workbookViewId="0">
      <selection activeCell="E5" sqref="E5"/>
    </sheetView>
  </sheetViews>
  <sheetFormatPr baseColWidth="10" defaultRowHeight="15" x14ac:dyDescent="0.25"/>
  <cols>
    <col min="1" max="1" width="31" bestFit="1" customWidth="1"/>
    <col min="2" max="2" width="14.42578125" bestFit="1" customWidth="1"/>
    <col min="3" max="3" width="6.85546875" bestFit="1" customWidth="1"/>
    <col min="4" max="4" width="12.5703125" customWidth="1"/>
    <col min="5" max="5" width="31.85546875" bestFit="1" customWidth="1"/>
    <col min="6" max="6" width="26.5703125" bestFit="1" customWidth="1"/>
    <col min="7" max="7" width="25.42578125" customWidth="1"/>
    <col min="8" max="10" width="3" customWidth="1"/>
    <col min="11" max="11" width="21" customWidth="1"/>
    <col min="12" max="12" width="23.85546875" customWidth="1"/>
    <col min="13" max="14" width="10.42578125" customWidth="1"/>
    <col min="15" max="15" width="5.5703125" customWidth="1"/>
    <col min="16" max="16" width="12.5703125" customWidth="1"/>
    <col min="17" max="17" width="21" customWidth="1"/>
    <col min="18" max="18" width="23.85546875" customWidth="1"/>
    <col min="19" max="19" width="8.85546875" customWidth="1"/>
    <col min="20" max="21" width="12.5703125" customWidth="1"/>
    <col min="22" max="22" width="12.5703125" bestFit="1" customWidth="1"/>
    <col min="23" max="23" width="12.5703125" customWidth="1"/>
    <col min="24" max="24" width="21" bestFit="1" customWidth="1"/>
    <col min="25" max="25" width="18.7109375" bestFit="1" customWidth="1"/>
    <col min="26" max="26" width="6" bestFit="1" customWidth="1"/>
    <col min="27" max="27" width="5.7109375" bestFit="1" customWidth="1"/>
    <col min="28" max="28" width="4.5703125" bestFit="1" customWidth="1"/>
    <col min="29" max="30" width="7.5703125" bestFit="1" customWidth="1"/>
    <col min="31" max="31" width="6" bestFit="1" customWidth="1"/>
    <col min="32" max="32" width="6.28515625" bestFit="1" customWidth="1"/>
    <col min="33" max="33" width="25.42578125" bestFit="1" customWidth="1"/>
    <col min="34" max="37" width="6.28515625" bestFit="1" customWidth="1"/>
    <col min="38" max="47" width="6" bestFit="1" customWidth="1"/>
    <col min="48" max="48" width="7" bestFit="1" customWidth="1"/>
    <col min="49" max="49" width="6.42578125" bestFit="1" customWidth="1"/>
    <col min="50" max="50" width="11.140625" bestFit="1" customWidth="1"/>
    <col min="51" max="51" width="7.5703125" bestFit="1" customWidth="1"/>
    <col min="52" max="53" width="6" bestFit="1" customWidth="1"/>
    <col min="54" max="54" width="5.7109375" bestFit="1" customWidth="1"/>
    <col min="55" max="55" width="4.5703125" bestFit="1" customWidth="1"/>
    <col min="56" max="57" width="7.5703125" bestFit="1" customWidth="1"/>
    <col min="58" max="58" width="6" bestFit="1" customWidth="1"/>
    <col min="59" max="59" width="6.28515625" bestFit="1" customWidth="1"/>
    <col min="60" max="60" width="31.5703125" bestFit="1" customWidth="1"/>
    <col min="61" max="61" width="30.42578125" bestFit="1" customWidth="1"/>
  </cols>
  <sheetData>
    <row r="2" spans="1:25" x14ac:dyDescent="0.25">
      <c r="K2" s="129" t="s">
        <v>279</v>
      </c>
      <c r="L2" s="129" t="s">
        <v>277</v>
      </c>
      <c r="Q2" s="129" t="s">
        <v>276</v>
      </c>
      <c r="R2" s="129" t="s">
        <v>277</v>
      </c>
      <c r="X2" s="129" t="s">
        <v>267</v>
      </c>
      <c r="Y2" t="s">
        <v>280</v>
      </c>
    </row>
    <row r="3" spans="1:25" x14ac:dyDescent="0.25">
      <c r="A3" s="129" t="s">
        <v>271</v>
      </c>
      <c r="B3" s="129" t="s">
        <v>275</v>
      </c>
      <c r="E3" s="129" t="s">
        <v>267</v>
      </c>
      <c r="F3" t="s">
        <v>272</v>
      </c>
      <c r="G3" t="s">
        <v>273</v>
      </c>
      <c r="K3" s="129" t="s">
        <v>267</v>
      </c>
      <c r="L3" t="s">
        <v>185</v>
      </c>
      <c r="M3" t="s">
        <v>183</v>
      </c>
      <c r="N3" t="s">
        <v>150</v>
      </c>
      <c r="O3" t="s">
        <v>184</v>
      </c>
      <c r="Q3" s="129" t="s">
        <v>267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X3" s="130" t="s">
        <v>269</v>
      </c>
      <c r="Y3" s="132">
        <v>78</v>
      </c>
    </row>
    <row r="4" spans="1:25" x14ac:dyDescent="0.25">
      <c r="B4" t="s">
        <v>269</v>
      </c>
      <c r="C4" t="s">
        <v>270</v>
      </c>
      <c r="E4" s="130" t="s">
        <v>213</v>
      </c>
      <c r="F4" s="132">
        <v>1</v>
      </c>
      <c r="G4" s="132">
        <v>1</v>
      </c>
      <c r="K4" s="130" t="s">
        <v>186</v>
      </c>
      <c r="L4" s="132"/>
      <c r="M4" s="132"/>
      <c r="N4" s="132">
        <v>1</v>
      </c>
      <c r="O4" s="132"/>
      <c r="Q4" s="130" t="s">
        <v>170</v>
      </c>
      <c r="R4" s="132"/>
      <c r="S4" s="132"/>
      <c r="T4" s="132"/>
      <c r="U4" s="132"/>
      <c r="V4" s="132">
        <v>1</v>
      </c>
      <c r="X4" s="130" t="s">
        <v>270</v>
      </c>
      <c r="Y4" s="132">
        <v>-2068741.2</v>
      </c>
    </row>
    <row r="5" spans="1:25" x14ac:dyDescent="0.25">
      <c r="E5" s="130" t="s">
        <v>223</v>
      </c>
      <c r="F5" s="132">
        <v>1</v>
      </c>
      <c r="G5" s="132">
        <v>1</v>
      </c>
      <c r="K5" s="130" t="s">
        <v>187</v>
      </c>
      <c r="L5" s="132"/>
      <c r="M5" s="132">
        <v>1</v>
      </c>
      <c r="N5" s="132"/>
      <c r="O5" s="132"/>
      <c r="Q5" s="130" t="s">
        <v>166</v>
      </c>
      <c r="R5" s="132">
        <v>1</v>
      </c>
      <c r="S5" s="132"/>
      <c r="T5" s="132"/>
      <c r="U5" s="132"/>
      <c r="V5" s="132"/>
      <c r="X5" s="130" t="s">
        <v>268</v>
      </c>
      <c r="Y5" s="132">
        <v>-2068663.2</v>
      </c>
    </row>
    <row r="6" spans="1:25" x14ac:dyDescent="0.25">
      <c r="A6" s="129" t="s">
        <v>274</v>
      </c>
      <c r="E6" s="130" t="s">
        <v>248</v>
      </c>
      <c r="F6" s="132"/>
      <c r="G6" s="132">
        <v>1</v>
      </c>
      <c r="K6" s="130" t="s">
        <v>188</v>
      </c>
      <c r="L6" s="132"/>
      <c r="M6" s="132"/>
      <c r="N6" s="132"/>
      <c r="O6" s="132">
        <v>1</v>
      </c>
      <c r="Q6" s="130" t="s">
        <v>167</v>
      </c>
      <c r="R6" s="132"/>
      <c r="S6" s="132">
        <v>1</v>
      </c>
      <c r="T6" s="132"/>
      <c r="U6" s="132"/>
      <c r="V6" s="132"/>
    </row>
    <row r="7" spans="1:25" x14ac:dyDescent="0.25">
      <c r="A7" s="130" t="s">
        <v>27</v>
      </c>
      <c r="B7" s="132">
        <v>3</v>
      </c>
      <c r="C7" s="132">
        <v>12</v>
      </c>
      <c r="E7" s="130" t="s">
        <v>249</v>
      </c>
      <c r="F7" s="132"/>
      <c r="G7" s="132">
        <v>1</v>
      </c>
      <c r="K7" s="130" t="s">
        <v>189</v>
      </c>
      <c r="L7" s="132">
        <v>1</v>
      </c>
      <c r="M7" s="132"/>
      <c r="N7" s="132"/>
      <c r="O7" s="132"/>
      <c r="Q7" s="130" t="s">
        <v>168</v>
      </c>
      <c r="R7" s="132"/>
      <c r="S7" s="132"/>
      <c r="T7" s="132"/>
      <c r="U7" s="132">
        <v>1</v>
      </c>
      <c r="V7" s="132"/>
    </row>
    <row r="8" spans="1:25" x14ac:dyDescent="0.25">
      <c r="A8" s="130" t="s">
        <v>28</v>
      </c>
      <c r="B8" s="132"/>
      <c r="C8" s="132">
        <v>5</v>
      </c>
      <c r="E8" s="130" t="s">
        <v>250</v>
      </c>
      <c r="F8" s="132"/>
      <c r="G8" s="132">
        <v>1</v>
      </c>
      <c r="K8" s="130" t="s">
        <v>190</v>
      </c>
      <c r="L8" s="132"/>
      <c r="M8" s="132"/>
      <c r="N8" s="132">
        <v>1</v>
      </c>
      <c r="O8" s="132"/>
      <c r="Q8" s="130" t="s">
        <v>169</v>
      </c>
      <c r="R8" s="132"/>
      <c r="S8" s="132"/>
      <c r="T8" s="132">
        <v>1</v>
      </c>
      <c r="U8" s="132"/>
      <c r="V8" s="132"/>
    </row>
    <row r="9" spans="1:25" x14ac:dyDescent="0.25">
      <c r="A9" s="130" t="s">
        <v>268</v>
      </c>
      <c r="B9" s="132">
        <v>3</v>
      </c>
      <c r="C9" s="132">
        <v>17</v>
      </c>
      <c r="E9" s="130" t="s">
        <v>214</v>
      </c>
      <c r="F9" s="132">
        <v>1</v>
      </c>
      <c r="G9" s="132">
        <v>1</v>
      </c>
      <c r="K9" s="130" t="s">
        <v>268</v>
      </c>
      <c r="L9" s="132">
        <v>1</v>
      </c>
      <c r="M9" s="132">
        <v>1</v>
      </c>
      <c r="N9" s="132">
        <v>2</v>
      </c>
      <c r="O9" s="132">
        <v>1</v>
      </c>
      <c r="Q9" s="130" t="s">
        <v>268</v>
      </c>
      <c r="R9" s="132">
        <v>1</v>
      </c>
      <c r="S9" s="132">
        <v>1</v>
      </c>
      <c r="T9" s="132">
        <v>1</v>
      </c>
      <c r="U9" s="132">
        <v>1</v>
      </c>
      <c r="V9" s="132">
        <v>1</v>
      </c>
    </row>
    <row r="10" spans="1:25" x14ac:dyDescent="0.25">
      <c r="E10" s="130" t="s">
        <v>268</v>
      </c>
      <c r="F10" s="132">
        <v>3</v>
      </c>
      <c r="G10" s="132">
        <v>6</v>
      </c>
    </row>
    <row r="14" spans="1:25" x14ac:dyDescent="0.25">
      <c r="Q14" s="129" t="s">
        <v>278</v>
      </c>
      <c r="R14" s="129" t="s">
        <v>277</v>
      </c>
    </row>
    <row r="15" spans="1:25" x14ac:dyDescent="0.25">
      <c r="Q15" s="129" t="s">
        <v>267</v>
      </c>
      <c r="R15" t="s">
        <v>164</v>
      </c>
      <c r="S15" t="s">
        <v>163</v>
      </c>
    </row>
    <row r="16" spans="1:25" x14ac:dyDescent="0.25">
      <c r="Q16" s="130" t="s">
        <v>159</v>
      </c>
      <c r="R16" s="132">
        <v>1</v>
      </c>
      <c r="S16" s="132"/>
    </row>
    <row r="17" spans="17:19" x14ac:dyDescent="0.25">
      <c r="Q17" s="130" t="s">
        <v>157</v>
      </c>
      <c r="R17" s="132"/>
      <c r="S17" s="132">
        <v>1</v>
      </c>
    </row>
    <row r="18" spans="17:19" x14ac:dyDescent="0.25">
      <c r="Q18" s="130" t="s">
        <v>158</v>
      </c>
      <c r="R18" s="132">
        <v>1</v>
      </c>
      <c r="S18" s="132"/>
    </row>
    <row r="19" spans="17:19" x14ac:dyDescent="0.25">
      <c r="Q19" s="130" t="s">
        <v>201</v>
      </c>
      <c r="R19" s="132"/>
      <c r="S19" s="132">
        <v>1</v>
      </c>
    </row>
    <row r="20" spans="17:19" x14ac:dyDescent="0.25">
      <c r="Q20" s="130" t="s">
        <v>268</v>
      </c>
      <c r="R20" s="132">
        <v>2</v>
      </c>
      <c r="S20" s="132">
        <v>2</v>
      </c>
    </row>
  </sheetData>
  <pageMargins left="0.7" right="0.7" top="0.75" bottom="0.75" header="0.3" footer="0.3"/>
  <drawing r:id="rId7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ticles"/>
  <dimension ref="A2:M38"/>
  <sheetViews>
    <sheetView topLeftCell="A16" workbookViewId="0">
      <selection activeCell="E20" sqref="E20"/>
    </sheetView>
  </sheetViews>
  <sheetFormatPr baseColWidth="10" defaultRowHeight="15" x14ac:dyDescent="0.25"/>
  <cols>
    <col min="1" max="1" width="12.140625" customWidth="1"/>
    <col min="2" max="2" width="25.85546875" customWidth="1"/>
    <col min="4" max="4" width="13" customWidth="1"/>
    <col min="5" max="5" width="8.7109375" customWidth="1"/>
    <col min="6" max="6" width="25.7109375" customWidth="1"/>
    <col min="7" max="7" width="19.5703125" customWidth="1"/>
    <col min="8" max="8" width="19.7109375" customWidth="1"/>
    <col min="9" max="9" width="18.28515625" customWidth="1"/>
    <col min="10" max="10" width="17.85546875" customWidth="1"/>
    <col min="11" max="11" width="16.5703125" customWidth="1"/>
    <col min="12" max="12" width="13.7109375" customWidth="1"/>
    <col min="13" max="13" width="16.140625" customWidth="1"/>
  </cols>
  <sheetData>
    <row r="2" spans="1:13" ht="36" customHeight="1" x14ac:dyDescent="0.25"/>
    <row r="3" spans="1:13" s="1" customFormat="1" x14ac:dyDescent="0.25">
      <c r="A3" s="1" t="s">
        <v>128</v>
      </c>
      <c r="B3" s="1" t="s">
        <v>89</v>
      </c>
      <c r="C3" s="1" t="s">
        <v>44</v>
      </c>
      <c r="D3" s="1" t="s">
        <v>129</v>
      </c>
      <c r="E3" s="1" t="s">
        <v>46</v>
      </c>
      <c r="F3" s="116" t="s">
        <v>126</v>
      </c>
      <c r="G3" s="1" t="s">
        <v>130</v>
      </c>
      <c r="H3" s="1" t="s">
        <v>131</v>
      </c>
      <c r="I3" s="1" t="s">
        <v>132</v>
      </c>
      <c r="J3" s="1" t="s">
        <v>133</v>
      </c>
      <c r="K3" s="1" t="s">
        <v>134</v>
      </c>
      <c r="L3" s="1" t="s">
        <v>135</v>
      </c>
      <c r="M3" s="1" t="s">
        <v>136</v>
      </c>
    </row>
    <row r="4" spans="1:13" x14ac:dyDescent="0.25">
      <c r="A4">
        <v>1</v>
      </c>
      <c r="B4" s="79" t="s">
        <v>202</v>
      </c>
      <c r="C4" t="s">
        <v>229</v>
      </c>
      <c r="D4" t="s">
        <v>49</v>
      </c>
      <c r="E4" t="s">
        <v>50</v>
      </c>
      <c r="F4" s="79" t="s">
        <v>238</v>
      </c>
      <c r="G4" t="s">
        <v>253</v>
      </c>
      <c r="H4" t="s">
        <v>253</v>
      </c>
      <c r="I4" s="79">
        <v>25200</v>
      </c>
      <c r="J4">
        <v>1</v>
      </c>
      <c r="K4" s="79">
        <v>23.76</v>
      </c>
      <c r="M4">
        <v>18</v>
      </c>
    </row>
    <row r="5" spans="1:13" x14ac:dyDescent="0.25">
      <c r="A5">
        <v>2</v>
      </c>
      <c r="B5" s="79" t="s">
        <v>203</v>
      </c>
      <c r="C5" t="s">
        <v>229</v>
      </c>
      <c r="D5" t="s">
        <v>51</v>
      </c>
      <c r="E5" t="s">
        <v>50</v>
      </c>
      <c r="F5" s="79" t="s">
        <v>238</v>
      </c>
      <c r="G5" t="s">
        <v>253</v>
      </c>
      <c r="H5" t="s">
        <v>253</v>
      </c>
      <c r="I5" s="79">
        <v>675</v>
      </c>
      <c r="J5">
        <v>1</v>
      </c>
      <c r="K5" s="79">
        <v>23.76</v>
      </c>
      <c r="M5">
        <v>18</v>
      </c>
    </row>
    <row r="6" spans="1:13" x14ac:dyDescent="0.25">
      <c r="A6">
        <v>3</v>
      </c>
      <c r="B6" s="79" t="s">
        <v>204</v>
      </c>
      <c r="C6" t="s">
        <v>229</v>
      </c>
      <c r="D6" t="s">
        <v>52</v>
      </c>
      <c r="E6" t="s">
        <v>50</v>
      </c>
      <c r="F6" s="79" t="s">
        <v>238</v>
      </c>
      <c r="G6" t="s">
        <v>253</v>
      </c>
      <c r="H6" t="s">
        <v>253</v>
      </c>
      <c r="I6" s="79">
        <v>423.5</v>
      </c>
      <c r="J6">
        <v>1</v>
      </c>
      <c r="K6" s="79">
        <v>23.76</v>
      </c>
      <c r="M6">
        <v>18</v>
      </c>
    </row>
    <row r="7" spans="1:13" x14ac:dyDescent="0.25">
      <c r="A7">
        <v>4</v>
      </c>
      <c r="B7" s="79" t="s">
        <v>205</v>
      </c>
      <c r="C7" t="s">
        <v>229</v>
      </c>
      <c r="D7" t="s">
        <v>53</v>
      </c>
      <c r="E7" t="s">
        <v>50</v>
      </c>
      <c r="F7" s="79" t="s">
        <v>238</v>
      </c>
      <c r="G7" t="s">
        <v>253</v>
      </c>
      <c r="H7" t="s">
        <v>253</v>
      </c>
      <c r="I7" s="79">
        <v>175</v>
      </c>
      <c r="J7">
        <v>1</v>
      </c>
      <c r="K7" s="79">
        <v>21</v>
      </c>
      <c r="M7">
        <v>17</v>
      </c>
    </row>
    <row r="8" spans="1:13" x14ac:dyDescent="0.25">
      <c r="A8">
        <v>5</v>
      </c>
      <c r="B8" s="79" t="s">
        <v>206</v>
      </c>
      <c r="C8" t="s">
        <v>229</v>
      </c>
      <c r="D8" t="s">
        <v>54</v>
      </c>
      <c r="E8" t="s">
        <v>50</v>
      </c>
      <c r="F8" s="79" t="s">
        <v>239</v>
      </c>
      <c r="G8" t="s">
        <v>253</v>
      </c>
      <c r="H8" t="s">
        <v>253</v>
      </c>
      <c r="I8" s="79">
        <v>2225</v>
      </c>
      <c r="J8">
        <v>1</v>
      </c>
      <c r="K8" s="79">
        <v>34.799999999999997</v>
      </c>
      <c r="M8">
        <v>15</v>
      </c>
    </row>
    <row r="9" spans="1:13" x14ac:dyDescent="0.25">
      <c r="A9">
        <v>6</v>
      </c>
      <c r="B9" s="79" t="s">
        <v>207</v>
      </c>
      <c r="C9" t="s">
        <v>229</v>
      </c>
      <c r="D9" t="s">
        <v>55</v>
      </c>
      <c r="E9" t="s">
        <v>50</v>
      </c>
      <c r="F9" s="79" t="s">
        <v>239</v>
      </c>
      <c r="G9" t="s">
        <v>253</v>
      </c>
      <c r="H9" t="s">
        <v>253</v>
      </c>
      <c r="I9" s="79">
        <v>200</v>
      </c>
      <c r="J9">
        <v>1</v>
      </c>
      <c r="K9" s="79">
        <v>95.58</v>
      </c>
      <c r="M9">
        <v>17</v>
      </c>
    </row>
    <row r="10" spans="1:13" x14ac:dyDescent="0.25">
      <c r="A10">
        <v>7</v>
      </c>
      <c r="B10" s="79" t="s">
        <v>208</v>
      </c>
      <c r="C10" t="s">
        <v>229</v>
      </c>
      <c r="D10" t="s">
        <v>56</v>
      </c>
      <c r="E10" t="s">
        <v>50</v>
      </c>
      <c r="F10" s="79" t="s">
        <v>239</v>
      </c>
      <c r="G10" t="s">
        <v>253</v>
      </c>
      <c r="H10" t="s">
        <v>253</v>
      </c>
      <c r="I10" s="79">
        <v>237.5</v>
      </c>
      <c r="J10">
        <v>1</v>
      </c>
      <c r="K10" s="79">
        <v>150</v>
      </c>
      <c r="M10">
        <v>18</v>
      </c>
    </row>
    <row r="11" spans="1:13" x14ac:dyDescent="0.25">
      <c r="A11">
        <v>8</v>
      </c>
      <c r="B11" s="79" t="s">
        <v>209</v>
      </c>
      <c r="C11" t="s">
        <v>229</v>
      </c>
      <c r="D11" t="s">
        <v>57</v>
      </c>
      <c r="E11" t="s">
        <v>50</v>
      </c>
      <c r="F11" s="79" t="s">
        <v>240</v>
      </c>
      <c r="G11" t="s">
        <v>253</v>
      </c>
      <c r="H11" t="s">
        <v>253</v>
      </c>
      <c r="I11" s="79">
        <v>2875</v>
      </c>
      <c r="J11">
        <v>2</v>
      </c>
      <c r="K11" s="79">
        <v>0</v>
      </c>
      <c r="M11">
        <v>22</v>
      </c>
    </row>
    <row r="12" spans="1:13" x14ac:dyDescent="0.25">
      <c r="A12">
        <v>9</v>
      </c>
      <c r="B12" s="79" t="s">
        <v>210</v>
      </c>
      <c r="C12" t="s">
        <v>229</v>
      </c>
      <c r="D12" t="s">
        <v>58</v>
      </c>
      <c r="E12" t="s">
        <v>50</v>
      </c>
      <c r="F12" s="79" t="s">
        <v>240</v>
      </c>
      <c r="G12" t="s">
        <v>253</v>
      </c>
      <c r="H12" t="s">
        <v>253</v>
      </c>
      <c r="I12" s="79">
        <v>387.5</v>
      </c>
      <c r="J12">
        <v>1</v>
      </c>
      <c r="K12" s="79">
        <v>57.6</v>
      </c>
      <c r="M12">
        <v>8</v>
      </c>
    </row>
    <row r="13" spans="1:13" x14ac:dyDescent="0.25">
      <c r="A13">
        <v>10</v>
      </c>
      <c r="B13" s="79" t="s">
        <v>211</v>
      </c>
      <c r="C13" t="s">
        <v>229</v>
      </c>
      <c r="D13" t="s">
        <v>59</v>
      </c>
      <c r="E13" t="s">
        <v>50</v>
      </c>
      <c r="F13" s="79" t="s">
        <v>240</v>
      </c>
      <c r="G13" t="s">
        <v>253</v>
      </c>
      <c r="H13" t="s">
        <v>253</v>
      </c>
      <c r="I13" s="79">
        <v>1775</v>
      </c>
      <c r="J13">
        <v>1</v>
      </c>
      <c r="K13" s="79">
        <v>57.6</v>
      </c>
      <c r="M13">
        <v>2</v>
      </c>
    </row>
    <row r="14" spans="1:13" x14ac:dyDescent="0.25">
      <c r="A14">
        <v>11</v>
      </c>
      <c r="B14" s="79" t="s">
        <v>210</v>
      </c>
      <c r="C14" t="s">
        <v>229</v>
      </c>
      <c r="D14" t="s">
        <v>60</v>
      </c>
      <c r="E14" t="s">
        <v>50</v>
      </c>
      <c r="F14" s="79" t="s">
        <v>240</v>
      </c>
      <c r="G14" t="s">
        <v>253</v>
      </c>
      <c r="H14" t="s">
        <v>253</v>
      </c>
      <c r="I14" s="79">
        <v>62.5</v>
      </c>
      <c r="J14">
        <v>1</v>
      </c>
      <c r="K14" s="79">
        <v>57.6</v>
      </c>
      <c r="M14">
        <v>18</v>
      </c>
    </row>
    <row r="15" spans="1:13" x14ac:dyDescent="0.25">
      <c r="A15">
        <v>12</v>
      </c>
      <c r="B15" s="79" t="s">
        <v>212</v>
      </c>
      <c r="C15" t="s">
        <v>229</v>
      </c>
      <c r="D15" t="s">
        <v>61</v>
      </c>
      <c r="E15" t="s">
        <v>50</v>
      </c>
      <c r="F15" s="79" t="s">
        <v>241</v>
      </c>
      <c r="G15" t="s">
        <v>253</v>
      </c>
      <c r="H15" t="s">
        <v>253</v>
      </c>
      <c r="I15" s="79">
        <v>1100</v>
      </c>
      <c r="J15">
        <v>1</v>
      </c>
      <c r="K15" s="79">
        <v>57.6</v>
      </c>
      <c r="M15">
        <v>8</v>
      </c>
    </row>
    <row r="16" spans="1:13" x14ac:dyDescent="0.25">
      <c r="A16">
        <v>13</v>
      </c>
      <c r="B16" s="79" t="s">
        <v>213</v>
      </c>
      <c r="C16" t="s">
        <v>229</v>
      </c>
      <c r="D16" t="s">
        <v>62</v>
      </c>
      <c r="E16" t="s">
        <v>50</v>
      </c>
      <c r="F16" s="79" t="s">
        <v>241</v>
      </c>
      <c r="G16" t="s">
        <v>253</v>
      </c>
      <c r="H16" t="s">
        <v>253</v>
      </c>
      <c r="I16" s="79">
        <v>62225</v>
      </c>
      <c r="J16">
        <v>1</v>
      </c>
      <c r="K16" s="79">
        <v>0</v>
      </c>
      <c r="M16">
        <v>6</v>
      </c>
    </row>
    <row r="17" spans="1:13" x14ac:dyDescent="0.25">
      <c r="A17">
        <v>14</v>
      </c>
      <c r="B17" s="79" t="s">
        <v>214</v>
      </c>
      <c r="C17" t="s">
        <v>229</v>
      </c>
      <c r="D17" t="s">
        <v>63</v>
      </c>
      <c r="E17" t="s">
        <v>50</v>
      </c>
      <c r="F17" s="79" t="s">
        <v>240</v>
      </c>
      <c r="G17" t="s">
        <v>253</v>
      </c>
      <c r="H17" t="s">
        <v>253</v>
      </c>
      <c r="I17" s="79">
        <v>7540</v>
      </c>
      <c r="J17">
        <v>1</v>
      </c>
      <c r="K17" s="79">
        <v>12</v>
      </c>
      <c r="M17">
        <v>6</v>
      </c>
    </row>
    <row r="18" spans="1:13" x14ac:dyDescent="0.25">
      <c r="A18">
        <v>15</v>
      </c>
      <c r="B18" s="79" t="s">
        <v>215</v>
      </c>
      <c r="C18" t="s">
        <v>229</v>
      </c>
      <c r="E18" t="s">
        <v>50</v>
      </c>
      <c r="F18" s="79" t="s">
        <v>240</v>
      </c>
      <c r="G18" t="s">
        <v>253</v>
      </c>
      <c r="H18" t="s">
        <v>253</v>
      </c>
      <c r="I18" s="79">
        <v>55180</v>
      </c>
      <c r="J18">
        <v>1</v>
      </c>
      <c r="K18" s="79">
        <v>13.2</v>
      </c>
      <c r="M18">
        <v>8</v>
      </c>
    </row>
    <row r="19" spans="1:13" x14ac:dyDescent="0.25">
      <c r="A19">
        <v>16</v>
      </c>
      <c r="B19" s="79" t="s">
        <v>216</v>
      </c>
      <c r="C19" t="s">
        <v>229</v>
      </c>
      <c r="D19" t="s">
        <v>64</v>
      </c>
      <c r="E19" t="s">
        <v>65</v>
      </c>
      <c r="F19" s="79" t="s">
        <v>240</v>
      </c>
      <c r="G19" t="s">
        <v>253</v>
      </c>
      <c r="H19" t="s">
        <v>253</v>
      </c>
      <c r="I19" s="79">
        <v>6560</v>
      </c>
      <c r="J19">
        <v>1</v>
      </c>
      <c r="K19" s="79">
        <v>13.2</v>
      </c>
      <c r="M19">
        <v>0</v>
      </c>
    </row>
    <row r="20" spans="1:13" x14ac:dyDescent="0.25">
      <c r="A20">
        <v>17</v>
      </c>
      <c r="B20" s="79" t="s">
        <v>217</v>
      </c>
      <c r="C20" t="s">
        <v>229</v>
      </c>
      <c r="D20" t="s">
        <v>66</v>
      </c>
      <c r="F20" s="79" t="s">
        <v>241</v>
      </c>
      <c r="G20" t="s">
        <v>253</v>
      </c>
      <c r="H20" t="s">
        <v>253</v>
      </c>
      <c r="I20" s="79">
        <v>1540</v>
      </c>
      <c r="J20">
        <v>1</v>
      </c>
      <c r="K20" s="79">
        <v>0</v>
      </c>
      <c r="M20">
        <v>8</v>
      </c>
    </row>
    <row r="21" spans="1:13" x14ac:dyDescent="0.25">
      <c r="A21">
        <v>18</v>
      </c>
      <c r="B21" s="79" t="s">
        <v>218</v>
      </c>
      <c r="C21" t="s">
        <v>229</v>
      </c>
      <c r="D21" t="s">
        <v>230</v>
      </c>
      <c r="F21" s="79" t="s">
        <v>240</v>
      </c>
      <c r="G21" t="s">
        <v>253</v>
      </c>
      <c r="H21" t="s">
        <v>253</v>
      </c>
      <c r="I21" s="79">
        <v>1880</v>
      </c>
      <c r="J21">
        <v>1</v>
      </c>
      <c r="K21" s="79">
        <v>12</v>
      </c>
    </row>
    <row r="22" spans="1:13" x14ac:dyDescent="0.25">
      <c r="A22">
        <v>19</v>
      </c>
      <c r="B22" s="79" t="s">
        <v>219</v>
      </c>
      <c r="C22" t="s">
        <v>229</v>
      </c>
      <c r="D22" t="s">
        <v>231</v>
      </c>
      <c r="F22" s="79" t="s">
        <v>240</v>
      </c>
      <c r="G22" t="s">
        <v>253</v>
      </c>
      <c r="H22" t="s">
        <v>253</v>
      </c>
      <c r="I22" s="79">
        <v>0</v>
      </c>
      <c r="J22">
        <v>1</v>
      </c>
      <c r="K22" s="79">
        <v>12</v>
      </c>
    </row>
    <row r="23" spans="1:13" x14ac:dyDescent="0.25">
      <c r="A23">
        <v>20</v>
      </c>
      <c r="B23" s="79" t="s">
        <v>220</v>
      </c>
      <c r="C23" t="s">
        <v>229</v>
      </c>
      <c r="D23" t="s">
        <v>232</v>
      </c>
      <c r="F23" s="79" t="s">
        <v>240</v>
      </c>
      <c r="G23" t="s">
        <v>253</v>
      </c>
      <c r="H23" t="s">
        <v>253</v>
      </c>
      <c r="I23" s="79">
        <v>300</v>
      </c>
      <c r="J23">
        <v>1</v>
      </c>
      <c r="K23" s="79">
        <v>12</v>
      </c>
    </row>
    <row r="24" spans="1:13" x14ac:dyDescent="0.25">
      <c r="A24">
        <v>21</v>
      </c>
      <c r="B24" s="79" t="s">
        <v>221</v>
      </c>
      <c r="C24" t="s">
        <v>229</v>
      </c>
      <c r="D24" t="s">
        <v>233</v>
      </c>
      <c r="F24" s="79" t="s">
        <v>241</v>
      </c>
      <c r="G24" t="s">
        <v>253</v>
      </c>
      <c r="H24" t="s">
        <v>253</v>
      </c>
      <c r="I24" s="79">
        <v>13020</v>
      </c>
      <c r="J24">
        <v>1</v>
      </c>
      <c r="K24" s="79">
        <v>12</v>
      </c>
    </row>
    <row r="25" spans="1:13" x14ac:dyDescent="0.25">
      <c r="A25">
        <v>22</v>
      </c>
      <c r="B25" s="79" t="s">
        <v>222</v>
      </c>
      <c r="C25" t="s">
        <v>229</v>
      </c>
      <c r="D25" t="s">
        <v>234</v>
      </c>
      <c r="F25" s="79" t="s">
        <v>241</v>
      </c>
      <c r="G25" t="s">
        <v>253</v>
      </c>
      <c r="H25" t="s">
        <v>253</v>
      </c>
      <c r="I25" s="79">
        <v>10020</v>
      </c>
      <c r="J25">
        <v>1</v>
      </c>
      <c r="K25" s="79">
        <v>12</v>
      </c>
    </row>
    <row r="26" spans="1:13" x14ac:dyDescent="0.25">
      <c r="A26">
        <v>23</v>
      </c>
      <c r="B26" s="79" t="s">
        <v>223</v>
      </c>
      <c r="C26" t="s">
        <v>229</v>
      </c>
      <c r="D26" t="s">
        <v>235</v>
      </c>
      <c r="F26" s="79" t="s">
        <v>241</v>
      </c>
      <c r="G26" t="s">
        <v>253</v>
      </c>
      <c r="H26" t="s">
        <v>253</v>
      </c>
      <c r="I26" s="79">
        <v>184500</v>
      </c>
      <c r="J26">
        <v>1</v>
      </c>
      <c r="K26" s="79">
        <v>12.3</v>
      </c>
    </row>
    <row r="27" spans="1:13" x14ac:dyDescent="0.25">
      <c r="A27">
        <v>24</v>
      </c>
      <c r="B27" s="79" t="s">
        <v>224</v>
      </c>
      <c r="C27" t="s">
        <v>229</v>
      </c>
      <c r="D27" t="s">
        <v>236</v>
      </c>
      <c r="F27" s="79" t="s">
        <v>238</v>
      </c>
      <c r="G27" t="s">
        <v>253</v>
      </c>
      <c r="H27" t="s">
        <v>253</v>
      </c>
      <c r="I27" s="79">
        <v>4650</v>
      </c>
      <c r="J27">
        <v>1</v>
      </c>
      <c r="K27" s="79">
        <v>19.2</v>
      </c>
    </row>
    <row r="28" spans="1:13" x14ac:dyDescent="0.25">
      <c r="A28">
        <v>25</v>
      </c>
      <c r="B28" s="79" t="s">
        <v>225</v>
      </c>
      <c r="C28" t="s">
        <v>229</v>
      </c>
      <c r="D28" t="s">
        <v>237</v>
      </c>
      <c r="F28" s="79" t="s">
        <v>238</v>
      </c>
      <c r="G28" t="s">
        <v>253</v>
      </c>
      <c r="H28" t="s">
        <v>253</v>
      </c>
      <c r="I28" s="79">
        <v>8225</v>
      </c>
      <c r="J28">
        <v>1</v>
      </c>
      <c r="K28" s="79">
        <v>22.5</v>
      </c>
    </row>
    <row r="29" spans="1:13" x14ac:dyDescent="0.25">
      <c r="A29">
        <v>26</v>
      </c>
      <c r="B29" s="79" t="s">
        <v>226</v>
      </c>
      <c r="C29" t="s">
        <v>229</v>
      </c>
      <c r="D29" t="s">
        <v>237</v>
      </c>
      <c r="F29" s="79" t="s">
        <v>239</v>
      </c>
      <c r="G29" t="s">
        <v>253</v>
      </c>
      <c r="H29" t="s">
        <v>253</v>
      </c>
      <c r="I29" s="79">
        <v>1100</v>
      </c>
      <c r="J29">
        <v>1</v>
      </c>
      <c r="K29" s="79">
        <v>10.8</v>
      </c>
    </row>
    <row r="30" spans="1:13" x14ac:dyDescent="0.25">
      <c r="A30">
        <v>27</v>
      </c>
      <c r="B30" s="79" t="s">
        <v>227</v>
      </c>
      <c r="C30" t="s">
        <v>229</v>
      </c>
      <c r="D30" t="s">
        <v>237</v>
      </c>
      <c r="F30" s="79" t="s">
        <v>238</v>
      </c>
      <c r="G30" t="s">
        <v>253</v>
      </c>
      <c r="H30" t="s">
        <v>253</v>
      </c>
      <c r="I30" s="79">
        <v>6060</v>
      </c>
      <c r="J30">
        <v>1</v>
      </c>
      <c r="K30" s="79">
        <v>10.8</v>
      </c>
    </row>
    <row r="31" spans="1:13" x14ac:dyDescent="0.25">
      <c r="A31">
        <v>28</v>
      </c>
      <c r="B31" s="79" t="s">
        <v>228</v>
      </c>
      <c r="C31" t="s">
        <v>229</v>
      </c>
      <c r="D31" t="s">
        <v>237</v>
      </c>
      <c r="F31" s="79" t="s">
        <v>238</v>
      </c>
      <c r="G31" t="s">
        <v>253</v>
      </c>
      <c r="H31" t="s">
        <v>253</v>
      </c>
      <c r="I31" s="79">
        <v>14200</v>
      </c>
      <c r="J31">
        <v>1</v>
      </c>
      <c r="K31" s="79">
        <v>10.8</v>
      </c>
    </row>
    <row r="32" spans="1:13" x14ac:dyDescent="0.25">
      <c r="A32">
        <v>29</v>
      </c>
      <c r="B32" s="79" t="s">
        <v>244</v>
      </c>
      <c r="C32" t="s">
        <v>243</v>
      </c>
      <c r="D32" t="s">
        <v>251</v>
      </c>
      <c r="F32" s="79" t="s">
        <v>251</v>
      </c>
      <c r="G32" t="s">
        <v>254</v>
      </c>
      <c r="H32" t="s">
        <v>254</v>
      </c>
      <c r="J32">
        <v>1</v>
      </c>
      <c r="K32" s="79">
        <v>54000</v>
      </c>
      <c r="L32" s="79">
        <v>54</v>
      </c>
    </row>
    <row r="33" spans="1:12" x14ac:dyDescent="0.25">
      <c r="A33">
        <v>30</v>
      </c>
      <c r="B33" s="79" t="s">
        <v>245</v>
      </c>
      <c r="C33" t="s">
        <v>243</v>
      </c>
      <c r="D33" t="s">
        <v>251</v>
      </c>
      <c r="F33" s="79" t="s">
        <v>251</v>
      </c>
      <c r="G33" t="s">
        <v>254</v>
      </c>
      <c r="H33" t="s">
        <v>254</v>
      </c>
      <c r="J33">
        <v>1</v>
      </c>
      <c r="K33" s="79">
        <v>95472</v>
      </c>
      <c r="L33" s="79">
        <v>95</v>
      </c>
    </row>
    <row r="34" spans="1:12" x14ac:dyDescent="0.25">
      <c r="A34">
        <v>31</v>
      </c>
      <c r="B34" s="79" t="s">
        <v>246</v>
      </c>
      <c r="C34" t="s">
        <v>243</v>
      </c>
      <c r="D34" t="s">
        <v>251</v>
      </c>
      <c r="F34" s="79" t="s">
        <v>251</v>
      </c>
      <c r="G34" t="s">
        <v>254</v>
      </c>
      <c r="H34" t="s">
        <v>254</v>
      </c>
      <c r="J34">
        <v>1</v>
      </c>
      <c r="K34" s="79">
        <v>168945.6</v>
      </c>
      <c r="L34" s="79">
        <v>168</v>
      </c>
    </row>
    <row r="35" spans="1:12" x14ac:dyDescent="0.25">
      <c r="A35">
        <v>32</v>
      </c>
      <c r="B35" s="79" t="s">
        <v>247</v>
      </c>
      <c r="C35" t="s">
        <v>243</v>
      </c>
      <c r="D35" t="s">
        <v>251</v>
      </c>
      <c r="F35" s="79" t="s">
        <v>251</v>
      </c>
      <c r="G35" t="s">
        <v>254</v>
      </c>
      <c r="H35" t="s">
        <v>254</v>
      </c>
      <c r="J35">
        <v>1</v>
      </c>
      <c r="K35" s="79">
        <v>125992.8</v>
      </c>
      <c r="L35" s="79">
        <v>125</v>
      </c>
    </row>
    <row r="36" spans="1:12" x14ac:dyDescent="0.25">
      <c r="A36">
        <v>33</v>
      </c>
      <c r="B36" s="79" t="s">
        <v>248</v>
      </c>
      <c r="C36" t="s">
        <v>243</v>
      </c>
      <c r="D36" t="s">
        <v>252</v>
      </c>
      <c r="F36" s="79" t="s">
        <v>252</v>
      </c>
      <c r="G36" t="s">
        <v>254</v>
      </c>
      <c r="H36" t="s">
        <v>254</v>
      </c>
      <c r="J36">
        <v>1</v>
      </c>
      <c r="K36" s="79">
        <v>540</v>
      </c>
      <c r="L36" s="79">
        <v>54</v>
      </c>
    </row>
    <row r="37" spans="1:12" x14ac:dyDescent="0.25">
      <c r="A37">
        <v>34</v>
      </c>
      <c r="B37" s="79" t="s">
        <v>249</v>
      </c>
      <c r="C37" t="s">
        <v>243</v>
      </c>
      <c r="D37" t="s">
        <v>252</v>
      </c>
      <c r="F37" s="79" t="s">
        <v>252</v>
      </c>
      <c r="G37" t="s">
        <v>254</v>
      </c>
      <c r="H37" t="s">
        <v>254</v>
      </c>
      <c r="J37">
        <v>1</v>
      </c>
      <c r="K37" s="79">
        <v>141827.76</v>
      </c>
      <c r="L37" s="79">
        <v>141</v>
      </c>
    </row>
    <row r="38" spans="1:12" x14ac:dyDescent="0.25">
      <c r="A38">
        <v>35</v>
      </c>
      <c r="B38" s="79" t="s">
        <v>250</v>
      </c>
      <c r="C38" t="s">
        <v>243</v>
      </c>
      <c r="D38" t="s">
        <v>252</v>
      </c>
      <c r="F38" s="79" t="s">
        <v>252</v>
      </c>
      <c r="G38" t="s">
        <v>254</v>
      </c>
      <c r="H38" t="s">
        <v>254</v>
      </c>
      <c r="J38">
        <v>1</v>
      </c>
      <c r="K38" s="79">
        <v>275904</v>
      </c>
      <c r="L38" s="79">
        <v>275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res"/>
  <dimension ref="A1:I23"/>
  <sheetViews>
    <sheetView workbookViewId="0">
      <selection activeCell="C6" sqref="C6"/>
    </sheetView>
  </sheetViews>
  <sheetFormatPr baseColWidth="10" defaultRowHeight="15" x14ac:dyDescent="0.25"/>
  <cols>
    <col min="1" max="1" width="3.85546875" customWidth="1"/>
    <col min="2" max="2" width="10.140625" customWidth="1"/>
    <col min="3" max="3" width="11.85546875" style="3" customWidth="1"/>
    <col min="4" max="4" width="8.42578125" customWidth="1"/>
    <col min="5" max="5" width="13.7109375" customWidth="1"/>
    <col min="6" max="6" width="21.140625" customWidth="1"/>
    <col min="7" max="7" width="21" customWidth="1"/>
    <col min="8" max="8" width="13" bestFit="1" customWidth="1"/>
    <col min="9" max="9" width="19.42578125" bestFit="1" customWidth="1"/>
  </cols>
  <sheetData>
    <row r="1" spans="1:9" x14ac:dyDescent="0.25">
      <c r="A1" s="53" t="s">
        <v>141</v>
      </c>
      <c r="B1" s="53"/>
      <c r="C1" s="105" t="s">
        <v>102</v>
      </c>
      <c r="D1" s="53" t="s">
        <v>103</v>
      </c>
      <c r="E1" s="53" t="s">
        <v>95</v>
      </c>
      <c r="F1" s="53" t="s">
        <v>104</v>
      </c>
      <c r="G1" s="53" t="s">
        <v>105</v>
      </c>
      <c r="H1" s="53" t="s">
        <v>106</v>
      </c>
      <c r="I1" s="53" t="s">
        <v>96</v>
      </c>
    </row>
    <row r="2" spans="1:9" x14ac:dyDescent="0.25">
      <c r="A2" s="106" t="s">
        <v>26</v>
      </c>
      <c r="B2" s="107"/>
      <c r="C2" s="108"/>
      <c r="D2" s="107"/>
      <c r="E2" s="107"/>
      <c r="F2" s="107"/>
      <c r="G2" s="107"/>
      <c r="H2" s="107"/>
      <c r="I2" s="107"/>
    </row>
    <row r="3" spans="1:9" s="1" customFormat="1" x14ac:dyDescent="0.25">
      <c r="A3" s="1" t="s">
        <v>140</v>
      </c>
      <c r="B3" s="39" t="s">
        <v>137</v>
      </c>
      <c r="C3" s="39" t="s">
        <v>118</v>
      </c>
      <c r="D3" s="1" t="s">
        <v>20</v>
      </c>
      <c r="E3" s="1" t="s">
        <v>21</v>
      </c>
      <c r="F3" s="1" t="s">
        <v>22</v>
      </c>
      <c r="G3" s="1" t="s">
        <v>23</v>
      </c>
      <c r="H3" s="1" t="s">
        <v>24</v>
      </c>
      <c r="I3" s="1" t="s">
        <v>25</v>
      </c>
    </row>
    <row r="4" spans="1:9" x14ac:dyDescent="0.25">
      <c r="A4">
        <v>1</v>
      </c>
      <c r="B4" t="s">
        <v>27</v>
      </c>
      <c r="C4" s="3">
        <v>44705</v>
      </c>
      <c r="D4" s="2">
        <v>0.6711111111111111</v>
      </c>
      <c r="E4" t="s">
        <v>29</v>
      </c>
      <c r="F4" t="s">
        <v>2</v>
      </c>
      <c r="G4" t="s">
        <v>159</v>
      </c>
      <c r="H4" t="s">
        <v>143</v>
      </c>
      <c r="I4" t="s">
        <v>18</v>
      </c>
    </row>
    <row r="5" spans="1:9" x14ac:dyDescent="0.25">
      <c r="A5">
        <v>2</v>
      </c>
      <c r="B5" t="s">
        <v>27</v>
      </c>
      <c r="C5" s="3">
        <v>44705</v>
      </c>
      <c r="D5" s="2">
        <v>0.67152777777777783</v>
      </c>
      <c r="E5" t="s">
        <v>29</v>
      </c>
      <c r="F5" t="s">
        <v>3</v>
      </c>
      <c r="G5" t="s">
        <v>157</v>
      </c>
      <c r="H5" t="s">
        <v>143</v>
      </c>
      <c r="I5" t="s">
        <v>18</v>
      </c>
    </row>
    <row r="6" spans="1:9" x14ac:dyDescent="0.25">
      <c r="A6">
        <v>3</v>
      </c>
      <c r="B6" t="s">
        <v>27</v>
      </c>
      <c r="C6" s="3">
        <v>44705</v>
      </c>
      <c r="D6" s="2">
        <v>0.67199074074074072</v>
      </c>
      <c r="E6" t="s">
        <v>29</v>
      </c>
      <c r="F6" t="s">
        <v>4</v>
      </c>
      <c r="G6" t="s">
        <v>157</v>
      </c>
      <c r="H6" t="s">
        <v>143</v>
      </c>
      <c r="I6" t="s">
        <v>17</v>
      </c>
    </row>
    <row r="7" spans="1:9" x14ac:dyDescent="0.25">
      <c r="A7">
        <v>4</v>
      </c>
      <c r="B7" t="s">
        <v>27</v>
      </c>
      <c r="C7" s="3">
        <v>45063</v>
      </c>
      <c r="D7" s="2">
        <v>0.53131944444444446</v>
      </c>
      <c r="E7" t="s">
        <v>29</v>
      </c>
      <c r="F7" t="s">
        <v>166</v>
      </c>
      <c r="G7" t="s">
        <v>159</v>
      </c>
      <c r="H7" t="s">
        <v>143</v>
      </c>
      <c r="I7" t="s">
        <v>154</v>
      </c>
    </row>
    <row r="8" spans="1:9" x14ac:dyDescent="0.25">
      <c r="A8">
        <v>5</v>
      </c>
      <c r="B8" t="s">
        <v>27</v>
      </c>
      <c r="C8" s="3">
        <v>45063</v>
      </c>
      <c r="D8" s="2">
        <v>0.53131944444444446</v>
      </c>
      <c r="E8" t="s">
        <v>29</v>
      </c>
      <c r="F8" t="s">
        <v>166</v>
      </c>
      <c r="G8" t="s">
        <v>159</v>
      </c>
      <c r="H8" t="s">
        <v>143</v>
      </c>
      <c r="I8" t="s">
        <v>154</v>
      </c>
    </row>
    <row r="9" spans="1:9" x14ac:dyDescent="0.25">
      <c r="A9">
        <v>6</v>
      </c>
      <c r="B9" t="s">
        <v>27</v>
      </c>
      <c r="C9" s="3">
        <v>45063</v>
      </c>
      <c r="D9" s="2">
        <v>0.5597685185185185</v>
      </c>
      <c r="E9" t="s">
        <v>29</v>
      </c>
      <c r="F9" t="s">
        <v>166</v>
      </c>
      <c r="G9" t="s">
        <v>159</v>
      </c>
      <c r="H9" t="s">
        <v>143</v>
      </c>
      <c r="I9" t="s">
        <v>153</v>
      </c>
    </row>
    <row r="10" spans="1:9" x14ac:dyDescent="0.25">
      <c r="A10">
        <v>7</v>
      </c>
      <c r="B10" t="s">
        <v>27</v>
      </c>
      <c r="C10" s="3">
        <v>45063</v>
      </c>
      <c r="D10" s="2">
        <v>0.56127314814814822</v>
      </c>
      <c r="E10" t="s">
        <v>33</v>
      </c>
      <c r="F10" t="s">
        <v>159</v>
      </c>
      <c r="G10" t="s">
        <v>158</v>
      </c>
      <c r="H10" t="s">
        <v>148</v>
      </c>
      <c r="I10" t="s">
        <v>155</v>
      </c>
    </row>
    <row r="11" spans="1:9" x14ac:dyDescent="0.25">
      <c r="A11">
        <v>8</v>
      </c>
      <c r="B11" t="s">
        <v>28</v>
      </c>
      <c r="C11" s="3">
        <v>45063</v>
      </c>
      <c r="D11" s="2">
        <v>0.52474537037037039</v>
      </c>
      <c r="E11" t="s">
        <v>33</v>
      </c>
      <c r="F11" t="s">
        <v>159</v>
      </c>
      <c r="G11" t="s">
        <v>201</v>
      </c>
      <c r="H11" t="s">
        <v>148</v>
      </c>
      <c r="I11" t="s">
        <v>154</v>
      </c>
    </row>
    <row r="12" spans="1:9" x14ac:dyDescent="0.25">
      <c r="A12">
        <v>9</v>
      </c>
      <c r="B12" t="s">
        <v>28</v>
      </c>
      <c r="C12" s="3">
        <v>45063</v>
      </c>
      <c r="D12" s="2">
        <v>0.6386574074074074</v>
      </c>
      <c r="E12" t="s">
        <v>33</v>
      </c>
      <c r="F12" t="s">
        <v>158</v>
      </c>
      <c r="G12" t="s">
        <v>187</v>
      </c>
      <c r="H12" t="s">
        <v>147</v>
      </c>
      <c r="I12" t="s">
        <v>153</v>
      </c>
    </row>
    <row r="13" spans="1:9" x14ac:dyDescent="0.25">
      <c r="A13">
        <v>10</v>
      </c>
      <c r="B13" t="s">
        <v>27</v>
      </c>
      <c r="C13" s="3">
        <v>45063</v>
      </c>
      <c r="D13" s="2">
        <v>0.64915509259259252</v>
      </c>
      <c r="E13" t="s">
        <v>33</v>
      </c>
      <c r="F13" t="s">
        <v>159</v>
      </c>
      <c r="G13" t="s">
        <v>201</v>
      </c>
      <c r="H13" t="s">
        <v>146</v>
      </c>
      <c r="I13" t="s">
        <v>156</v>
      </c>
    </row>
    <row r="14" spans="1:9" x14ac:dyDescent="0.25">
      <c r="A14">
        <v>11</v>
      </c>
      <c r="B14" t="s">
        <v>27</v>
      </c>
      <c r="C14" s="3">
        <v>45064</v>
      </c>
      <c r="D14" s="2">
        <v>0.4757291666666667</v>
      </c>
      <c r="E14" t="s">
        <v>33</v>
      </c>
      <c r="F14" t="s">
        <v>159</v>
      </c>
      <c r="G14" t="s">
        <v>201</v>
      </c>
      <c r="H14" t="s">
        <v>148</v>
      </c>
      <c r="I14" t="s">
        <v>255</v>
      </c>
    </row>
    <row r="15" spans="1:9" x14ac:dyDescent="0.25">
      <c r="A15">
        <v>12</v>
      </c>
      <c r="B15" t="s">
        <v>27</v>
      </c>
      <c r="C15" s="3">
        <v>45064</v>
      </c>
      <c r="D15" s="2">
        <v>0.4757291666666667</v>
      </c>
      <c r="E15" t="s">
        <v>33</v>
      </c>
      <c r="F15" t="s">
        <v>157</v>
      </c>
      <c r="G15" t="s">
        <v>201</v>
      </c>
      <c r="H15" t="s">
        <v>148</v>
      </c>
      <c r="I15" t="s">
        <v>255</v>
      </c>
    </row>
    <row r="16" spans="1:9" x14ac:dyDescent="0.25">
      <c r="A16">
        <v>13</v>
      </c>
      <c r="B16" t="s">
        <v>28</v>
      </c>
      <c r="C16" s="3">
        <v>45064</v>
      </c>
      <c r="D16" s="2">
        <v>0.48181712962962964</v>
      </c>
      <c r="E16" t="s">
        <v>33</v>
      </c>
      <c r="F16" t="s">
        <v>201</v>
      </c>
      <c r="G16" t="s">
        <v>158</v>
      </c>
      <c r="H16" t="s">
        <v>147</v>
      </c>
      <c r="I16" t="s">
        <v>154</v>
      </c>
    </row>
    <row r="17" spans="1:9" x14ac:dyDescent="0.25">
      <c r="A17">
        <v>14</v>
      </c>
      <c r="B17" t="s">
        <v>27</v>
      </c>
      <c r="C17" s="3">
        <v>45065</v>
      </c>
      <c r="D17" s="2">
        <v>0.58493055555555562</v>
      </c>
      <c r="E17" t="s">
        <v>33</v>
      </c>
      <c r="F17" t="s">
        <v>201</v>
      </c>
      <c r="G17" t="s">
        <v>158</v>
      </c>
      <c r="H17" t="s">
        <v>143</v>
      </c>
      <c r="I17" t="s">
        <v>154</v>
      </c>
    </row>
    <row r="18" spans="1:9" x14ac:dyDescent="0.25">
      <c r="A18">
        <v>15</v>
      </c>
      <c r="B18" t="s">
        <v>27</v>
      </c>
      <c r="C18" s="3">
        <v>45065</v>
      </c>
      <c r="D18" s="2">
        <v>0.61937500000000001</v>
      </c>
      <c r="E18" t="s">
        <v>33</v>
      </c>
      <c r="F18" t="s">
        <v>158</v>
      </c>
      <c r="G18" t="s">
        <v>159</v>
      </c>
      <c r="H18" t="s">
        <v>148</v>
      </c>
      <c r="I18" t="s">
        <v>153</v>
      </c>
    </row>
    <row r="19" spans="1:9" x14ac:dyDescent="0.25">
      <c r="A19">
        <v>16</v>
      </c>
      <c r="B19" t="s">
        <v>27</v>
      </c>
      <c r="C19" s="3">
        <v>45068</v>
      </c>
      <c r="D19" s="2">
        <v>0.59899305555555549</v>
      </c>
      <c r="E19" t="s">
        <v>29</v>
      </c>
      <c r="F19" t="s">
        <v>167</v>
      </c>
      <c r="G19" t="s">
        <v>159</v>
      </c>
      <c r="H19" t="s">
        <v>148</v>
      </c>
      <c r="I19" t="s">
        <v>153</v>
      </c>
    </row>
    <row r="20" spans="1:9" x14ac:dyDescent="0.25">
      <c r="A20">
        <v>17</v>
      </c>
      <c r="B20" t="s">
        <v>28</v>
      </c>
      <c r="C20" s="3">
        <v>45068</v>
      </c>
      <c r="D20" s="2">
        <v>0.63206018518518514</v>
      </c>
      <c r="E20" t="s">
        <v>33</v>
      </c>
      <c r="F20" t="s">
        <v>201</v>
      </c>
      <c r="G20" t="s">
        <v>158</v>
      </c>
      <c r="H20" t="s">
        <v>148</v>
      </c>
      <c r="I20" t="s">
        <v>154</v>
      </c>
    </row>
    <row r="21" spans="1:9" x14ac:dyDescent="0.25">
      <c r="A21">
        <v>18</v>
      </c>
      <c r="B21" t="s">
        <v>27</v>
      </c>
      <c r="C21" s="3">
        <v>45068</v>
      </c>
      <c r="D21" s="2">
        <v>0.64988425925925919</v>
      </c>
      <c r="E21" t="s">
        <v>29</v>
      </c>
      <c r="F21" t="s">
        <v>167</v>
      </c>
      <c r="G21" t="s">
        <v>159</v>
      </c>
      <c r="H21" t="s">
        <v>143</v>
      </c>
      <c r="I21" t="s">
        <v>154</v>
      </c>
    </row>
    <row r="22" spans="1:9" x14ac:dyDescent="0.25">
      <c r="A22">
        <v>19</v>
      </c>
      <c r="B22" t="s">
        <v>28</v>
      </c>
      <c r="C22" s="3">
        <v>45068</v>
      </c>
      <c r="D22" s="2">
        <v>0.65083333333333326</v>
      </c>
      <c r="E22" t="s">
        <v>33</v>
      </c>
      <c r="F22" t="s">
        <v>158</v>
      </c>
      <c r="G22" t="s">
        <v>186</v>
      </c>
      <c r="H22" t="s">
        <v>143</v>
      </c>
      <c r="I22" t="s">
        <v>153</v>
      </c>
    </row>
    <row r="23" spans="1:9" x14ac:dyDescent="0.25">
      <c r="A23">
        <v>20</v>
      </c>
      <c r="B23" t="s">
        <v>27</v>
      </c>
      <c r="C23" s="3">
        <v>45069</v>
      </c>
      <c r="D23" s="2">
        <v>0.43591435185185184</v>
      </c>
      <c r="E23" t="s">
        <v>29</v>
      </c>
      <c r="F23" t="s">
        <v>169</v>
      </c>
      <c r="G23" t="s">
        <v>159</v>
      </c>
      <c r="H23" t="s">
        <v>147</v>
      </c>
      <c r="I23" t="s">
        <v>153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DInventaire"/>
  <dimension ref="A1:C10"/>
  <sheetViews>
    <sheetView workbookViewId="0">
      <selection activeCell="B6" sqref="B6"/>
    </sheetView>
  </sheetViews>
  <sheetFormatPr baseColWidth="10" defaultRowHeight="15" x14ac:dyDescent="0.25"/>
  <cols>
    <col min="1" max="1" width="14.85546875" customWidth="1"/>
  </cols>
  <sheetData>
    <row r="1" spans="1:3" x14ac:dyDescent="0.25">
      <c r="A1" s="104" t="s">
        <v>138</v>
      </c>
      <c r="B1" s="104"/>
      <c r="C1" s="104"/>
    </row>
    <row r="2" spans="1:3" x14ac:dyDescent="0.25">
      <c r="A2" t="s">
        <v>139</v>
      </c>
      <c r="B2" t="s">
        <v>118</v>
      </c>
      <c r="C2" t="s">
        <v>87</v>
      </c>
    </row>
    <row r="3" spans="1:3" x14ac:dyDescent="0.25">
      <c r="A3">
        <v>1</v>
      </c>
      <c r="B3" s="3">
        <v>44705</v>
      </c>
      <c r="C3">
        <v>0</v>
      </c>
    </row>
    <row r="4" spans="1:3" x14ac:dyDescent="0.25">
      <c r="A4">
        <v>2</v>
      </c>
      <c r="B4" s="3">
        <v>44705</v>
      </c>
      <c r="C4">
        <v>78</v>
      </c>
    </row>
    <row r="5" spans="1:3" x14ac:dyDescent="0.25">
      <c r="A5">
        <v>3</v>
      </c>
      <c r="B5" s="3">
        <v>45063</v>
      </c>
      <c r="C5">
        <v>0</v>
      </c>
    </row>
    <row r="6" spans="1:3" x14ac:dyDescent="0.25">
      <c r="A6">
        <v>4</v>
      </c>
      <c r="B6" s="3">
        <v>45065</v>
      </c>
      <c r="C6">
        <v>84</v>
      </c>
    </row>
    <row r="7" spans="1:3" x14ac:dyDescent="0.25">
      <c r="A7">
        <v>5</v>
      </c>
      <c r="B7" s="3">
        <v>45068</v>
      </c>
      <c r="C7">
        <v>-1305276</v>
      </c>
    </row>
    <row r="8" spans="1:3" x14ac:dyDescent="0.25">
      <c r="A8">
        <v>6</v>
      </c>
      <c r="B8" s="3">
        <v>45068</v>
      </c>
      <c r="C8">
        <v>-1251576</v>
      </c>
    </row>
    <row r="9" spans="1:3" x14ac:dyDescent="0.25">
      <c r="A9">
        <v>7</v>
      </c>
      <c r="B9" s="3">
        <v>45068</v>
      </c>
      <c r="C9">
        <v>488386.80000000005</v>
      </c>
    </row>
    <row r="10" spans="1:3" x14ac:dyDescent="0.25">
      <c r="A10">
        <v>8</v>
      </c>
      <c r="B10" s="3">
        <v>45069</v>
      </c>
      <c r="C10">
        <v>-360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lients"/>
  <dimension ref="A2:H8"/>
  <sheetViews>
    <sheetView workbookViewId="0"/>
  </sheetViews>
  <sheetFormatPr baseColWidth="10" defaultRowHeight="15" x14ac:dyDescent="0.25"/>
  <cols>
    <col min="1" max="1" width="11.42578125" customWidth="1"/>
    <col min="2" max="2" width="16.5703125" bestFit="1" customWidth="1"/>
    <col min="3" max="3" width="24.28515625" bestFit="1" customWidth="1"/>
    <col min="4" max="4" width="11.140625" bestFit="1" customWidth="1"/>
    <col min="5" max="5" width="13" bestFit="1" customWidth="1"/>
    <col min="6" max="6" width="6" bestFit="1" customWidth="1"/>
    <col min="7" max="7" width="13.85546875" customWidth="1"/>
    <col min="8" max="8" width="29" customWidth="1"/>
  </cols>
  <sheetData>
    <row r="2" spans="1:8" x14ac:dyDescent="0.25">
      <c r="A2" s="102" t="s">
        <v>80</v>
      </c>
      <c r="B2" s="102"/>
      <c r="C2" s="102"/>
      <c r="D2" s="102"/>
      <c r="E2" s="102"/>
      <c r="F2" s="102"/>
      <c r="G2" s="102"/>
      <c r="H2" s="102"/>
    </row>
    <row r="3" spans="1:8" x14ac:dyDescent="0.25">
      <c r="A3" s="1" t="s">
        <v>83</v>
      </c>
      <c r="B3" s="1" t="s">
        <v>81</v>
      </c>
      <c r="C3" s="1" t="s">
        <v>8</v>
      </c>
      <c r="D3" s="1" t="s">
        <v>9</v>
      </c>
      <c r="E3" s="1" t="s">
        <v>82</v>
      </c>
      <c r="F3" s="1" t="s">
        <v>11</v>
      </c>
      <c r="G3" s="1" t="s">
        <v>7</v>
      </c>
      <c r="H3" s="1" t="s">
        <v>0</v>
      </c>
    </row>
    <row r="4" spans="1:8" x14ac:dyDescent="0.25">
      <c r="A4">
        <v>1</v>
      </c>
      <c r="B4" t="s">
        <v>186</v>
      </c>
      <c r="C4" s="115" t="s">
        <v>196</v>
      </c>
      <c r="D4" t="s">
        <v>150</v>
      </c>
      <c r="E4" s="79" t="s">
        <v>182</v>
      </c>
      <c r="F4">
        <v>35341</v>
      </c>
      <c r="G4">
        <v>3286147299</v>
      </c>
      <c r="H4" s="115" t="s">
        <v>191</v>
      </c>
    </row>
    <row r="5" spans="1:8" x14ac:dyDescent="0.25">
      <c r="A5">
        <v>2</v>
      </c>
      <c r="B5" t="s">
        <v>187</v>
      </c>
      <c r="C5" s="115" t="s">
        <v>197</v>
      </c>
      <c r="D5" t="s">
        <v>183</v>
      </c>
      <c r="E5" s="79" t="s">
        <v>183</v>
      </c>
      <c r="F5">
        <v>69816</v>
      </c>
      <c r="G5">
        <v>3455894869</v>
      </c>
      <c r="H5" s="115" t="s">
        <v>192</v>
      </c>
    </row>
    <row r="6" spans="1:8" x14ac:dyDescent="0.25">
      <c r="A6">
        <v>3</v>
      </c>
      <c r="B6" t="s">
        <v>188</v>
      </c>
      <c r="C6" s="115" t="s">
        <v>198</v>
      </c>
      <c r="D6" t="s">
        <v>184</v>
      </c>
      <c r="E6" s="79" t="s">
        <v>184</v>
      </c>
      <c r="F6">
        <v>57439</v>
      </c>
      <c r="G6">
        <v>3488520913</v>
      </c>
      <c r="H6" s="115" t="s">
        <v>193</v>
      </c>
    </row>
    <row r="7" spans="1:8" x14ac:dyDescent="0.25">
      <c r="A7">
        <v>4</v>
      </c>
      <c r="B7" t="s">
        <v>189</v>
      </c>
      <c r="C7" s="115" t="s">
        <v>199</v>
      </c>
      <c r="D7" t="s">
        <v>185</v>
      </c>
      <c r="E7" s="79" t="s">
        <v>185</v>
      </c>
      <c r="F7">
        <v>95515</v>
      </c>
      <c r="G7">
        <v>3497730067</v>
      </c>
      <c r="H7" s="115" t="s">
        <v>194</v>
      </c>
    </row>
    <row r="8" spans="1:8" x14ac:dyDescent="0.25">
      <c r="A8">
        <v>5</v>
      </c>
      <c r="B8" t="s">
        <v>190</v>
      </c>
      <c r="C8" s="115" t="s">
        <v>196</v>
      </c>
      <c r="D8" t="s">
        <v>161</v>
      </c>
      <c r="E8" s="79" t="s">
        <v>200</v>
      </c>
      <c r="F8">
        <v>75119</v>
      </c>
      <c r="G8">
        <v>3617832508</v>
      </c>
      <c r="H8" s="115" t="s">
        <v>195</v>
      </c>
    </row>
  </sheetData>
  <hyperlinks>
    <hyperlink ref="C4" r:id="rId1" display="D@1"/>
    <hyperlink ref="H4" r:id="rId2"/>
    <hyperlink ref="H5:H8" r:id="rId3" display="C1@gmail.com"/>
    <hyperlink ref="H5" r:id="rId4"/>
    <hyperlink ref="H6" r:id="rId5"/>
    <hyperlink ref="H7" r:id="rId6"/>
    <hyperlink ref="H8" r:id="rId7"/>
  </hyperlinks>
  <pageMargins left="0.7" right="0.7" top="0.75" bottom="0.75" header="0.3" footer="0.3"/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sseur"/>
  <dimension ref="A2:I8"/>
  <sheetViews>
    <sheetView workbookViewId="0"/>
  </sheetViews>
  <sheetFormatPr baseColWidth="10" defaultRowHeight="15" x14ac:dyDescent="0.25"/>
  <cols>
    <col min="1" max="1" width="4.7109375" customWidth="1"/>
    <col min="2" max="2" width="22.7109375" customWidth="1"/>
    <col min="3" max="3" width="11.7109375" customWidth="1"/>
    <col min="4" max="4" width="15.42578125" customWidth="1"/>
    <col min="5" max="5" width="13.140625" bestFit="1" customWidth="1"/>
    <col min="6" max="6" width="22.140625" bestFit="1" customWidth="1"/>
    <col min="7" max="7" width="11.140625" bestFit="1" customWidth="1"/>
    <col min="8" max="8" width="9.28515625" bestFit="1" customWidth="1"/>
    <col min="9" max="9" width="7" bestFit="1" customWidth="1"/>
  </cols>
  <sheetData>
    <row r="2" spans="1:9" x14ac:dyDescent="0.25">
      <c r="A2" s="102" t="s">
        <v>12</v>
      </c>
      <c r="B2" s="103"/>
      <c r="C2" s="103"/>
      <c r="D2" s="103"/>
      <c r="E2" s="103"/>
      <c r="F2" s="103"/>
      <c r="G2" s="103"/>
      <c r="H2" s="103"/>
      <c r="I2" s="103"/>
    </row>
    <row r="3" spans="1:9" s="1" customFormat="1" x14ac:dyDescent="0.25">
      <c r="A3" s="1" t="s">
        <v>5</v>
      </c>
      <c r="B3" s="1" t="s">
        <v>6</v>
      </c>
      <c r="C3" s="1" t="s">
        <v>7</v>
      </c>
      <c r="D3" s="1" t="s">
        <v>0</v>
      </c>
      <c r="E3" s="1" t="s">
        <v>1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 x14ac:dyDescent="0.25">
      <c r="A4">
        <v>1</v>
      </c>
      <c r="B4" t="s">
        <v>166</v>
      </c>
      <c r="C4">
        <v>623498746</v>
      </c>
      <c r="D4" s="115" t="s">
        <v>171</v>
      </c>
      <c r="E4" t="s">
        <v>172</v>
      </c>
      <c r="F4" t="s">
        <v>177</v>
      </c>
      <c r="G4" t="s">
        <v>150</v>
      </c>
      <c r="H4" t="s">
        <v>165</v>
      </c>
      <c r="I4">
        <v>45841</v>
      </c>
    </row>
    <row r="5" spans="1:9" x14ac:dyDescent="0.25">
      <c r="A5">
        <v>2</v>
      </c>
      <c r="B5" t="s">
        <v>167</v>
      </c>
      <c r="C5">
        <v>623498746</v>
      </c>
      <c r="D5" s="115" t="s">
        <v>171</v>
      </c>
      <c r="E5" t="s">
        <v>173</v>
      </c>
      <c r="F5" t="s">
        <v>178</v>
      </c>
      <c r="G5" t="s">
        <v>150</v>
      </c>
      <c r="H5" t="s">
        <v>165</v>
      </c>
      <c r="I5">
        <v>45841</v>
      </c>
    </row>
    <row r="6" spans="1:9" x14ac:dyDescent="0.25">
      <c r="A6">
        <v>3</v>
      </c>
      <c r="B6" t="s">
        <v>169</v>
      </c>
      <c r="C6">
        <v>623498746</v>
      </c>
      <c r="D6" s="115" t="s">
        <v>171</v>
      </c>
      <c r="E6" t="s">
        <v>174</v>
      </c>
      <c r="F6" t="s">
        <v>179</v>
      </c>
      <c r="G6" t="s">
        <v>150</v>
      </c>
      <c r="H6" t="s">
        <v>165</v>
      </c>
      <c r="I6">
        <v>45841</v>
      </c>
    </row>
    <row r="7" spans="1:9" x14ac:dyDescent="0.25">
      <c r="A7">
        <v>4</v>
      </c>
      <c r="B7" t="s">
        <v>168</v>
      </c>
      <c r="C7">
        <v>623498746</v>
      </c>
      <c r="D7" s="115" t="s">
        <v>171</v>
      </c>
      <c r="E7" t="s">
        <v>175</v>
      </c>
      <c r="F7" t="s">
        <v>180</v>
      </c>
      <c r="G7" t="s">
        <v>150</v>
      </c>
      <c r="H7" t="s">
        <v>165</v>
      </c>
      <c r="I7">
        <v>45841</v>
      </c>
    </row>
    <row r="8" spans="1:9" x14ac:dyDescent="0.25">
      <c r="A8">
        <v>5</v>
      </c>
      <c r="B8" t="s">
        <v>170</v>
      </c>
      <c r="C8">
        <v>623498746</v>
      </c>
      <c r="D8" s="115" t="s">
        <v>171</v>
      </c>
      <c r="E8" t="s">
        <v>176</v>
      </c>
      <c r="F8" t="s">
        <v>181</v>
      </c>
      <c r="G8" t="s">
        <v>150</v>
      </c>
      <c r="H8" t="s">
        <v>165</v>
      </c>
      <c r="I8">
        <v>45841</v>
      </c>
    </row>
  </sheetData>
  <hyperlinks>
    <hyperlink ref="D4" r:id="rId1"/>
    <hyperlink ref="D5:D8" r:id="rId2" display="F@gmail.com"/>
  </hyperlinks>
  <pageMargins left="0.7" right="0.7" top="0.75" bottom="0.75" header="0.3" footer="0.3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g"/>
  <dimension ref="A2:F7"/>
  <sheetViews>
    <sheetView workbookViewId="0">
      <selection activeCell="H12" sqref="H12"/>
    </sheetView>
  </sheetViews>
  <sheetFormatPr baseColWidth="10" defaultRowHeight="15" x14ac:dyDescent="0.25"/>
  <cols>
    <col min="1" max="1" width="18.42578125" customWidth="1"/>
    <col min="2" max="2" width="21.28515625" bestFit="1" customWidth="1"/>
    <col min="3" max="3" width="12.140625" bestFit="1" customWidth="1"/>
    <col min="4" max="4" width="9.28515625" bestFit="1" customWidth="1"/>
    <col min="5" max="5" width="6" bestFit="1" customWidth="1"/>
    <col min="6" max="6" width="9.42578125" bestFit="1" customWidth="1"/>
  </cols>
  <sheetData>
    <row r="2" spans="1:6" x14ac:dyDescent="0.25">
      <c r="A2" s="102" t="s">
        <v>16</v>
      </c>
      <c r="B2" s="103"/>
      <c r="C2" s="103"/>
      <c r="D2" s="103"/>
      <c r="E2" s="103"/>
      <c r="F2" s="103"/>
    </row>
    <row r="3" spans="1:6" s="1" customFormat="1" x14ac:dyDescent="0.25">
      <c r="A3" s="1" t="s">
        <v>15</v>
      </c>
      <c r="B3" s="1" t="s">
        <v>8</v>
      </c>
      <c r="C3" s="1" t="s">
        <v>9</v>
      </c>
      <c r="D3" s="1" t="s">
        <v>162</v>
      </c>
      <c r="E3" s="1" t="s">
        <v>11</v>
      </c>
      <c r="F3" s="1" t="s">
        <v>13</v>
      </c>
    </row>
    <row r="4" spans="1:6" x14ac:dyDescent="0.25">
      <c r="A4" t="s">
        <v>157</v>
      </c>
      <c r="B4" t="s">
        <v>160</v>
      </c>
      <c r="C4" t="s">
        <v>150</v>
      </c>
      <c r="D4" t="s">
        <v>163</v>
      </c>
      <c r="E4">
        <v>90005</v>
      </c>
      <c r="F4" t="s">
        <v>165</v>
      </c>
    </row>
    <row r="5" spans="1:6" x14ac:dyDescent="0.25">
      <c r="A5" t="s">
        <v>159</v>
      </c>
      <c r="B5" t="s">
        <v>160</v>
      </c>
      <c r="C5" t="s">
        <v>150</v>
      </c>
      <c r="D5" t="s">
        <v>164</v>
      </c>
      <c r="E5">
        <v>90450</v>
      </c>
      <c r="F5" t="s">
        <v>165</v>
      </c>
    </row>
    <row r="6" spans="1:6" x14ac:dyDescent="0.25">
      <c r="A6" t="s">
        <v>158</v>
      </c>
      <c r="B6" t="s">
        <v>160</v>
      </c>
      <c r="C6" t="s">
        <v>150</v>
      </c>
      <c r="D6" t="s">
        <v>164</v>
      </c>
      <c r="E6">
        <v>91346</v>
      </c>
      <c r="F6" t="s">
        <v>165</v>
      </c>
    </row>
    <row r="7" spans="1:6" x14ac:dyDescent="0.25">
      <c r="A7" t="s">
        <v>201</v>
      </c>
      <c r="B7" t="s">
        <v>160</v>
      </c>
      <c r="C7" t="s">
        <v>150</v>
      </c>
      <c r="D7" t="s">
        <v>163</v>
      </c>
      <c r="E7">
        <v>91846</v>
      </c>
      <c r="F7" t="s">
        <v>165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uffeur"/>
  <dimension ref="A2:J8"/>
  <sheetViews>
    <sheetView workbookViewId="0">
      <selection activeCell="J10" sqref="J10"/>
    </sheetView>
  </sheetViews>
  <sheetFormatPr baseColWidth="10" defaultRowHeight="15" x14ac:dyDescent="0.25"/>
  <cols>
    <col min="1" max="1" width="13.28515625" customWidth="1"/>
    <col min="2" max="2" width="15.7109375" customWidth="1"/>
    <col min="3" max="3" width="11.7109375" customWidth="1"/>
    <col min="4" max="4" width="24.140625" bestFit="1" customWidth="1"/>
    <col min="5" max="5" width="32.7109375" bestFit="1" customWidth="1"/>
    <col min="6" max="6" width="16.42578125" customWidth="1"/>
    <col min="7" max="7" width="13" bestFit="1" customWidth="1"/>
    <col min="8" max="8" width="6" bestFit="1" customWidth="1"/>
  </cols>
  <sheetData>
    <row r="2" spans="1:10" x14ac:dyDescent="0.25">
      <c r="A2" s="102" t="s">
        <v>74</v>
      </c>
      <c r="B2" s="103"/>
      <c r="C2" s="103"/>
      <c r="D2" s="103"/>
      <c r="E2" s="103"/>
      <c r="F2" s="103"/>
      <c r="G2" s="103"/>
      <c r="H2" s="103"/>
    </row>
    <row r="3" spans="1:10" s="1" customFormat="1" x14ac:dyDescent="0.25">
      <c r="A3" s="1" t="s">
        <v>72</v>
      </c>
      <c r="B3" s="1" t="s">
        <v>73</v>
      </c>
      <c r="C3" s="1" t="s">
        <v>7</v>
      </c>
      <c r="D3" s="1" t="s">
        <v>0</v>
      </c>
      <c r="E3" s="1" t="s">
        <v>8</v>
      </c>
      <c r="F3" s="1" t="s">
        <v>9</v>
      </c>
      <c r="G3" s="1" t="s">
        <v>14</v>
      </c>
      <c r="H3" s="1" t="s">
        <v>11</v>
      </c>
    </row>
    <row r="4" spans="1:10" x14ac:dyDescent="0.25">
      <c r="A4">
        <v>1</v>
      </c>
      <c r="B4" t="s">
        <v>149</v>
      </c>
      <c r="C4">
        <v>3286147299</v>
      </c>
      <c r="D4" t="s">
        <v>67</v>
      </c>
      <c r="E4" s="115" t="s">
        <v>151</v>
      </c>
      <c r="F4" t="s">
        <v>150</v>
      </c>
      <c r="G4" t="s">
        <v>152</v>
      </c>
      <c r="H4">
        <v>43119</v>
      </c>
      <c r="J4" t="str">
        <f ca="1">OFFSET($B$4,COUNTA($B$4:$B$1000)-1,0,1,1)</f>
        <v>Mohamed</v>
      </c>
    </row>
    <row r="5" spans="1:10" x14ac:dyDescent="0.25">
      <c r="A5">
        <v>2</v>
      </c>
      <c r="B5" t="s">
        <v>143</v>
      </c>
      <c r="C5">
        <v>3455894869</v>
      </c>
      <c r="D5" t="s">
        <v>68</v>
      </c>
      <c r="E5" s="115" t="s">
        <v>151</v>
      </c>
      <c r="F5" t="s">
        <v>150</v>
      </c>
      <c r="G5" t="s">
        <v>152</v>
      </c>
      <c r="H5">
        <v>59900</v>
      </c>
    </row>
    <row r="6" spans="1:10" x14ac:dyDescent="0.25">
      <c r="A6">
        <v>3</v>
      </c>
      <c r="B6" t="s">
        <v>148</v>
      </c>
      <c r="C6">
        <v>3488520913</v>
      </c>
      <c r="D6" t="s">
        <v>69</v>
      </c>
      <c r="E6" s="115" t="s">
        <v>151</v>
      </c>
      <c r="F6" t="s">
        <v>150</v>
      </c>
      <c r="G6" t="s">
        <v>152</v>
      </c>
      <c r="H6">
        <v>59677</v>
      </c>
    </row>
    <row r="7" spans="1:10" x14ac:dyDescent="0.25">
      <c r="A7">
        <v>4</v>
      </c>
      <c r="B7" t="s">
        <v>147</v>
      </c>
      <c r="C7">
        <v>3497730067</v>
      </c>
      <c r="D7" t="s">
        <v>70</v>
      </c>
      <c r="E7" s="115" t="s">
        <v>151</v>
      </c>
      <c r="F7" t="s">
        <v>150</v>
      </c>
      <c r="G7" t="s">
        <v>152</v>
      </c>
      <c r="H7">
        <v>43779</v>
      </c>
    </row>
    <row r="8" spans="1:10" x14ac:dyDescent="0.25">
      <c r="A8">
        <v>5</v>
      </c>
      <c r="B8" t="s">
        <v>146</v>
      </c>
      <c r="C8">
        <v>3617832508</v>
      </c>
      <c r="D8" t="s">
        <v>71</v>
      </c>
      <c r="E8" s="115" t="s">
        <v>151</v>
      </c>
      <c r="F8" t="s">
        <v>150</v>
      </c>
      <c r="G8" t="s">
        <v>152</v>
      </c>
      <c r="H8">
        <v>53512</v>
      </c>
    </row>
  </sheetData>
  <hyperlinks>
    <hyperlink ref="E4" r:id="rId1"/>
    <hyperlink ref="E5:E8" r:id="rId2" display="gemaplast@gmail.com"/>
  </hyperlinks>
  <pageMargins left="0.7" right="0.7" top="0.75" bottom="0.75" header="0.3" footer="0.3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mions"/>
  <dimension ref="A3:D8"/>
  <sheetViews>
    <sheetView workbookViewId="0">
      <selection activeCell="E12" sqref="E12:F12"/>
    </sheetView>
  </sheetViews>
  <sheetFormatPr baseColWidth="10" defaultRowHeight="15" x14ac:dyDescent="0.25"/>
  <cols>
    <col min="1" max="1" width="11.5703125" customWidth="1"/>
    <col min="2" max="2" width="21.7109375" customWidth="1"/>
    <col min="3" max="3" width="10.140625" bestFit="1" customWidth="1"/>
    <col min="4" max="4" width="9" customWidth="1"/>
  </cols>
  <sheetData>
    <row r="3" spans="1:4" x14ac:dyDescent="0.25">
      <c r="A3" s="1" t="s">
        <v>75</v>
      </c>
      <c r="B3" s="1" t="s">
        <v>76</v>
      </c>
      <c r="C3" s="1" t="s">
        <v>77</v>
      </c>
      <c r="D3" s="1" t="s">
        <v>78</v>
      </c>
    </row>
    <row r="4" spans="1:4" x14ac:dyDescent="0.25">
      <c r="A4">
        <v>1</v>
      </c>
      <c r="B4" s="79" t="s">
        <v>153</v>
      </c>
      <c r="C4" s="79" t="s">
        <v>144</v>
      </c>
      <c r="D4" s="79">
        <v>8</v>
      </c>
    </row>
    <row r="5" spans="1:4" x14ac:dyDescent="0.25">
      <c r="A5">
        <v>2</v>
      </c>
      <c r="B5" s="79" t="s">
        <v>153</v>
      </c>
      <c r="C5" s="79" t="s">
        <v>144</v>
      </c>
      <c r="D5" s="79">
        <v>4.5</v>
      </c>
    </row>
    <row r="6" spans="1:4" x14ac:dyDescent="0.25">
      <c r="A6">
        <v>3</v>
      </c>
      <c r="B6" s="79" t="s">
        <v>154</v>
      </c>
      <c r="C6" s="79" t="s">
        <v>145</v>
      </c>
      <c r="D6" s="79">
        <v>2.5</v>
      </c>
    </row>
    <row r="7" spans="1:4" x14ac:dyDescent="0.25">
      <c r="A7">
        <v>4</v>
      </c>
      <c r="B7" s="79" t="s">
        <v>155</v>
      </c>
      <c r="C7" s="79" t="s">
        <v>145</v>
      </c>
      <c r="D7" s="79">
        <v>3</v>
      </c>
    </row>
    <row r="8" spans="1:4" x14ac:dyDescent="0.25">
      <c r="A8">
        <v>5</v>
      </c>
      <c r="B8" s="79" t="s">
        <v>255</v>
      </c>
      <c r="C8" s="79" t="s">
        <v>145</v>
      </c>
      <c r="D8" s="79">
        <v>1.5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</vt:i4>
      </vt:variant>
    </vt:vector>
  </HeadingPairs>
  <TitlesOfParts>
    <vt:vector size="14" baseType="lpstr">
      <vt:lpstr>USER</vt:lpstr>
      <vt:lpstr>Reception</vt:lpstr>
      <vt:lpstr>Transfert</vt:lpstr>
      <vt:lpstr>Inventaire</vt:lpstr>
      <vt:lpstr>Dashboard</vt:lpstr>
      <vt:lpstr>OrdresArticles</vt:lpstr>
      <vt:lpstr>calculs</vt:lpstr>
      <vt:lpstr>Articles</vt:lpstr>
      <vt:lpstr>ID_Inventaire</vt:lpstr>
      <vt:lpstr>Clients</vt:lpstr>
      <vt:lpstr>Fsseur</vt:lpstr>
      <vt:lpstr>OrdresArticles!Criteres</vt:lpstr>
      <vt:lpstr>OrdresArticles!Extraire</vt:lpstr>
      <vt:lpstr>Liste_PourTriInv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SOUOP GEORGES</dc:creator>
  <cp:lastModifiedBy>pc</cp:lastModifiedBy>
  <dcterms:created xsi:type="dcterms:W3CDTF">2022-05-18T09:32:22Z</dcterms:created>
  <dcterms:modified xsi:type="dcterms:W3CDTF">2023-05-24T20:54:10Z</dcterms:modified>
</cp:coreProperties>
</file>